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aphouse\MyHerdApp\"/>
    </mc:Choice>
  </mc:AlternateContent>
  <xr:revisionPtr revIDLastSave="0" documentId="13_ncr:1_{8A3F3E39-F59E-4231-AA54-23F75DCD7745}" xr6:coauthVersionLast="47" xr6:coauthVersionMax="47" xr10:uidLastSave="{00000000-0000-0000-0000-000000000000}"/>
  <bookViews>
    <workbookView xWindow="-108" yWindow="-108" windowWidth="23256" windowHeight="12456" activeTab="1" xr2:uid="{00000000-000D-0000-FFFF-FFFF00000000}"/>
  </bookViews>
  <sheets>
    <sheet name="Feed Formulator &amp; Costing" sheetId="1" r:id="rId1"/>
    <sheet name="Recommendations &amp; Guidelines" sheetId="2" r:id="rId2"/>
  </sheets>
  <calcPr calcId="191029"/>
</workbook>
</file>

<file path=xl/calcChain.xml><?xml version="1.0" encoding="utf-8"?>
<calcChain xmlns="http://schemas.openxmlformats.org/spreadsheetml/2006/main">
  <c r="F27" i="1" l="1"/>
  <c r="F26" i="1"/>
  <c r="C22" i="1"/>
  <c r="F21" i="1"/>
  <c r="E21" i="1"/>
  <c r="F20" i="1"/>
  <c r="E20" i="1"/>
  <c r="F19" i="1"/>
  <c r="E19" i="1"/>
  <c r="F18" i="1"/>
  <c r="E18" i="1"/>
  <c r="F17" i="1"/>
  <c r="E17" i="1"/>
  <c r="F16" i="1"/>
  <c r="F22" i="1" s="1"/>
  <c r="E16" i="1"/>
  <c r="E22" i="1" s="1"/>
  <c r="D22" i="1" s="1"/>
  <c r="C12" i="1"/>
  <c r="F11" i="1"/>
  <c r="E11" i="1"/>
  <c r="F10" i="1"/>
  <c r="E10" i="1"/>
  <c r="F9" i="1"/>
  <c r="E9" i="1"/>
  <c r="F8" i="1"/>
  <c r="E8" i="1"/>
  <c r="F7" i="1"/>
  <c r="E7" i="1"/>
  <c r="E12" i="1" s="1"/>
  <c r="D12" i="1" s="1"/>
  <c r="F6" i="1"/>
  <c r="F12" i="1" s="1"/>
  <c r="E6" i="1"/>
</calcChain>
</file>

<file path=xl/sharedStrings.xml><?xml version="1.0" encoding="utf-8"?>
<sst xmlns="http://schemas.openxmlformats.org/spreadsheetml/2006/main" count="66" uniqueCount="46">
  <si>
    <t>ON-FARM CUSTOM CONCENTRATE FEED FORMULATOR &amp; COST CALCULATOR</t>
  </si>
  <si>
    <t>Interactive Batch Formulator based on Current Market Ingredient Prices | Alexandria / Egypt Baseline 2026</t>
  </si>
  <si>
    <t>FORMULA A: BREEDING STOCK MIX (EWES &amp; RAMS)</t>
  </si>
  <si>
    <t>Ingredient Name</t>
  </si>
  <si>
    <t>Functional Category</t>
  </si>
  <si>
    <t>Batch Weight (kg)</t>
  </si>
  <si>
    <t>Price / kg (EGP)</t>
  </si>
  <si>
    <t>Total Cost (EGP)</t>
  </si>
  <si>
    <t>CP Contribution %</t>
  </si>
  <si>
    <t>Crushed Wheat</t>
  </si>
  <si>
    <t>Energy Base</t>
  </si>
  <si>
    <t>Coarsely Cracked Yellow Corn</t>
  </si>
  <si>
    <t>Limestone Powder</t>
  </si>
  <si>
    <t>Calcium / Mineral</t>
  </si>
  <si>
    <t>Salt (Sodium Chloride)</t>
  </si>
  <si>
    <t>Macro Mineral</t>
  </si>
  <si>
    <t>Premix + Toxin Binder</t>
  </si>
  <si>
    <t>Vitamins / Micro</t>
  </si>
  <si>
    <t>Sodium Bicarbonate</t>
  </si>
  <si>
    <t>Rumen Buffer</t>
  </si>
  <si>
    <t>TOTAL FORMULA A BATCH</t>
  </si>
  <si>
    <t>Standard 100kg</t>
  </si>
  <si>
    <t>FORMULA B: HIGH-GROWTH MIX (FATTENING LAMBS)</t>
  </si>
  <si>
    <t>TOTAL FORMULA B BATCH</t>
  </si>
  <si>
    <t>PROTEIN BOOST FORMULATIONS (WITH SOYBEAN MEAL AT 44% CP)</t>
  </si>
  <si>
    <t>Target Recipe</t>
  </si>
  <si>
    <t>Soybean Meal (kg)</t>
  </si>
  <si>
    <t>Crushed Wheat (kg)</t>
  </si>
  <si>
    <t>Yellow Corn (kg)</t>
  </si>
  <si>
    <t>Minerals &amp; Additives (kg)</t>
  </si>
  <si>
    <t>Est. Crude Protein %</t>
  </si>
  <si>
    <t>Formula A Upgrade (14% CP Target)</t>
  </si>
  <si>
    <t>Formula B Upgrade (16% CP Target)</t>
  </si>
  <si>
    <t>PRACTICAL ON-FARM FEEDING &amp; MIXING RECOMMENDATIONS</t>
  </si>
  <si>
    <t>Core Action Area</t>
  </si>
  <si>
    <t>Operational &amp; Nutritional Guidelines</t>
  </si>
  <si>
    <t>1. Calcium-to-Phosphorus Balance (Urinary Calculi Prevention)</t>
  </si>
  <si>
    <t>Grains like corn and crushed wheat contain high levels of phosphorus relative to calcium. Without adequate calcium, male sheep (rams and fattening lambs) are at severe risk of developing bladder stones (Urinary Calculi / حشوة أو انسداد مجرى البول). Adding 1.5% Limestone Powder (كربونات كالسيوم) per 100 kg batch ensures a healthy 2:1 Calcium-to-Phosphorus ratio.</t>
  </si>
  <si>
    <t>2. Rumen Acidosis &amp; Grain Processing Discipline</t>
  </si>
  <si>
    <t>Crushed wheat releases starch rapidly in the rumen compared to corn. Always keep wheat coarsely crushed (not finely ground into flour). Finely ground wheat causes sudden rumen acidification (حموضة الكرش). Ensure Sodium Bicarbonate (بيكربونات صوديوم) is strictly maintained at 1.0% in high-wheat fattening rations.</t>
  </si>
  <si>
    <t>3. Gradual Ration Adaptation Rule (7–10 Days)</t>
  </si>
  <si>
    <t>Never switch sheep abruptly from one concentrate formula to another or increase daily grain allowance suddenly. Introduce new mixes over a 7-to-10 day transition period (e.g., 25% new / 75% old on Days 1–3; 50/50 on Days 4–6; 75/25 on Days 7–9; 100% new on Day 10) to allow rumen microflora to adjust.</t>
  </si>
  <si>
    <t>4. Quality Forage Synchronization (Roughage Complement)</t>
  </si>
  <si>
    <t>Concentrate feeds must always be fed alongside good quality roughage (e.g., Egyptian Berseem Clover Hay / دريس حجازي or Wheat Straw / تبن قمحي). A roughage baseline prevents bloat, maintains rumination (إجترار), and improves overall digestibility.</t>
  </si>
  <si>
    <t>5. Clean Water &amp; Free-Choice Salt Access</t>
  </si>
  <si>
    <t>Ensure continuous access to clean, fresh water. Higher concentrate intake increases metabolic water demand. Salt in the mix (1.0%) encourages consistent water consumption, which further protects against digestive and urinary complications.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</si>
</sst>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 &quot;EGP/kg&quot;"/>
    <numFmt numFmtId="166" formatCode="#,##0.00\ &quot;EGP&quot;"/>
    <numFmt numFmtId="167" formatCode="0.0%"/>
  </numFmts>
  <fonts count="9" x14ac:knownFonts="1">
    <font>
      <sz val="11"/>
      <color theme="1"/>
      <name val="Calibri"/>
      <family val="2"/>
      <scheme val="minor"/>
    </font>
    <font>
      <b/>
      <sz val="14"/>
      <color rgb="FFFFFFFF"/>
      <name val="Calibri"/>
    </font>
    <font>
      <i/>
      <sz val="10"/>
      <color rgb="FF595959"/>
      <name val="Calibri"/>
    </font>
    <font>
      <b/>
      <sz val="12"/>
      <color rgb="FF1F497D"/>
      <name val="Calibri"/>
    </font>
    <font>
      <b/>
      <sz val="11"/>
      <color rgb="FFFFFFFF"/>
      <name val="Calibri"/>
    </font>
    <font>
      <b/>
      <sz val="10"/>
      <name val="Calibri"/>
    </font>
    <font>
      <sz val="10"/>
      <name val="Calibri"/>
    </font>
    <font>
      <b/>
      <sz val="10.5"/>
      <color rgb="FF1F497D"/>
      <name val="Calibri"/>
    </font>
    <font>
      <b/>
      <sz val="12"/>
      <color rgb="FF2E6B9E"/>
      <name val="Calibri"/>
    </font>
  </fonts>
  <fills count="6">
    <fill>
      <patternFill patternType="none"/>
    </fill>
    <fill>
      <patternFill patternType="gray125"/>
    </fill>
    <fill>
      <patternFill patternType="solid">
        <fgColor rgb="FF1F497D"/>
        <bgColor rgb="FF1F497D"/>
      </patternFill>
    </fill>
    <fill>
      <patternFill patternType="solid">
        <fgColor rgb="FFF9FAFB"/>
        <bgColor rgb="FFF9FAFB"/>
      </patternFill>
    </fill>
    <fill>
      <patternFill patternType="solid">
        <fgColor rgb="FFF2F5F9"/>
        <bgColor rgb="FFF2F5F9"/>
      </patternFill>
    </fill>
    <fill>
      <patternFill patternType="solid">
        <fgColor rgb="FF2E6B9E"/>
        <bgColor rgb="FF2E6B9E"/>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1F497D"/>
      </top>
      <bottom style="double">
        <color rgb="FF1F497D"/>
      </bottom>
      <diagonal/>
    </border>
  </borders>
  <cellStyleXfs count="1">
    <xf numFmtId="0" fontId="0" fillId="0" borderId="0"/>
  </cellStyleXfs>
  <cellXfs count="32">
    <xf numFmtId="0" fontId="0" fillId="0" borderId="0" xfId="0"/>
    <xf numFmtId="0" fontId="4" fillId="2" borderId="0" xfId="0" applyFont="1" applyFill="1" applyAlignment="1">
      <alignment horizontal="center" vertical="center" wrapText="1"/>
    </xf>
    <xf numFmtId="0" fontId="5" fillId="0" borderId="1" xfId="0" applyFont="1" applyBorder="1"/>
    <xf numFmtId="0" fontId="6" fillId="0" borderId="1" xfId="0" applyFont="1" applyBorder="1"/>
    <xf numFmtId="164" fontId="0" fillId="0" borderId="1" xfId="0" applyNumberFormat="1" applyBorder="1" applyAlignment="1">
      <alignment horizontal="center"/>
    </xf>
    <xf numFmtId="4" fontId="0" fillId="0" borderId="1" xfId="0" applyNumberFormat="1" applyBorder="1" applyAlignment="1">
      <alignment horizontal="right"/>
    </xf>
    <xf numFmtId="4" fontId="5" fillId="0" borderId="1" xfId="0" applyNumberFormat="1" applyFont="1" applyBorder="1" applyAlignment="1">
      <alignment horizontal="right"/>
    </xf>
    <xf numFmtId="10" fontId="0" fillId="0" borderId="1" xfId="0" applyNumberFormat="1" applyBorder="1" applyAlignment="1">
      <alignment horizontal="center"/>
    </xf>
    <xf numFmtId="0" fontId="5" fillId="3" borderId="1" xfId="0" applyFont="1" applyFill="1" applyBorder="1"/>
    <xf numFmtId="0" fontId="6" fillId="3" borderId="1" xfId="0" applyFont="1" applyFill="1" applyBorder="1"/>
    <xf numFmtId="164" fontId="0" fillId="3" borderId="1" xfId="0" applyNumberFormat="1" applyFill="1" applyBorder="1" applyAlignment="1">
      <alignment horizontal="center"/>
    </xf>
    <xf numFmtId="4" fontId="0" fillId="3" borderId="1" xfId="0" applyNumberFormat="1" applyFill="1" applyBorder="1" applyAlignment="1">
      <alignment horizontal="right"/>
    </xf>
    <xf numFmtId="4" fontId="5" fillId="3" borderId="1" xfId="0" applyNumberFormat="1" applyFont="1" applyFill="1" applyBorder="1" applyAlignment="1">
      <alignment horizontal="right"/>
    </xf>
    <xf numFmtId="10" fontId="0" fillId="3" borderId="1" xfId="0" applyNumberFormat="1" applyFill="1" applyBorder="1" applyAlignment="1">
      <alignment horizontal="center"/>
    </xf>
    <xf numFmtId="0" fontId="7" fillId="4" borderId="2" xfId="0" applyFont="1" applyFill="1" applyBorder="1"/>
    <xf numFmtId="164" fontId="7" fillId="4" borderId="2" xfId="0" applyNumberFormat="1" applyFont="1" applyFill="1" applyBorder="1" applyAlignment="1">
      <alignment horizontal="center"/>
    </xf>
    <xf numFmtId="165" fontId="7" fillId="4" borderId="2" xfId="0" applyNumberFormat="1" applyFont="1" applyFill="1" applyBorder="1" applyAlignment="1">
      <alignment horizontal="right"/>
    </xf>
    <xf numFmtId="166" fontId="7" fillId="4" borderId="2" xfId="0" applyNumberFormat="1" applyFont="1" applyFill="1" applyBorder="1" applyAlignment="1">
      <alignment horizontal="right"/>
    </xf>
    <xf numFmtId="10" fontId="7" fillId="4" borderId="2" xfId="0" applyNumberFormat="1" applyFont="1" applyFill="1" applyBorder="1" applyAlignment="1">
      <alignment horizontal="center"/>
    </xf>
    <xf numFmtId="0" fontId="4" fillId="5" borderId="0" xfId="0" applyFont="1" applyFill="1" applyAlignment="1">
      <alignment horizontal="center" vertical="center" wrapText="1"/>
    </xf>
    <xf numFmtId="167" fontId="5" fillId="0" borderId="1" xfId="0" applyNumberFormat="1" applyFont="1" applyBorder="1" applyAlignment="1">
      <alignment horizontal="center"/>
    </xf>
    <xf numFmtId="0" fontId="4" fillId="5" borderId="0" xfId="0" applyFont="1" applyFill="1" applyAlignment="1">
      <alignment horizontal="center" vertical="center"/>
    </xf>
    <xf numFmtId="0" fontId="5" fillId="0" borderId="1" xfId="0" applyFont="1" applyBorder="1" applyAlignment="1">
      <alignment vertical="top" wrapText="1"/>
    </xf>
    <xf numFmtId="0" fontId="6" fillId="0" borderId="1" xfId="0" applyFont="1" applyBorder="1" applyAlignment="1">
      <alignment vertical="top" wrapText="1"/>
    </xf>
    <xf numFmtId="0" fontId="5" fillId="3" borderId="1" xfId="0" applyFont="1" applyFill="1" applyBorder="1" applyAlignment="1">
      <alignment vertical="top" wrapText="1"/>
    </xf>
    <xf numFmtId="0" fontId="6" fillId="3" borderId="1" xfId="0" applyFont="1" applyFill="1" applyBorder="1" applyAlignment="1">
      <alignment vertical="top" wrapText="1"/>
    </xf>
    <xf numFmtId="0" fontId="3" fillId="0" borderId="0" xfId="0" applyFont="1"/>
    <xf numFmtId="0" fontId="0" fillId="0" borderId="0" xfId="0"/>
    <xf numFmtId="0" fontId="2" fillId="0" borderId="0" xfId="0" applyFont="1" applyAlignment="1">
      <alignment horizontal="center" vertical="center"/>
    </xf>
    <xf numFmtId="0" fontId="8" fillId="0" borderId="0" xfId="0" applyFont="1"/>
    <xf numFmtId="0" fontId="1" fillId="2" borderId="0" xfId="0" applyFont="1" applyFill="1" applyAlignment="1">
      <alignment horizontal="center" vertical="center"/>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27"/>
  <sheetViews>
    <sheetView topLeftCell="A17" workbookViewId="0">
      <selection sqref="A1:F27"/>
    </sheetView>
  </sheetViews>
  <sheetFormatPr defaultRowHeight="14.4" x14ac:dyDescent="0.3"/>
  <cols>
    <col min="1" max="1" width="30" customWidth="1"/>
    <col min="2" max="2" width="24" customWidth="1"/>
    <col min="3" max="3" width="18" customWidth="1"/>
    <col min="4" max="5" width="20" customWidth="1"/>
    <col min="6" max="6" width="22" customWidth="1"/>
  </cols>
  <sheetData>
    <row r="1" spans="1:6" ht="34.950000000000003" customHeight="1" x14ac:dyDescent="0.3">
      <c r="A1" s="30" t="s">
        <v>0</v>
      </c>
      <c r="B1" s="27"/>
      <c r="C1" s="27"/>
      <c r="D1" s="27"/>
      <c r="E1" s="27"/>
      <c r="F1" s="27"/>
    </row>
    <row r="2" spans="1:6" ht="19.95" customHeight="1" x14ac:dyDescent="0.3">
      <c r="A2" s="28" t="s">
        <v>1</v>
      </c>
      <c r="B2" s="27"/>
      <c r="C2" s="27"/>
      <c r="D2" s="27"/>
      <c r="E2" s="27"/>
      <c r="F2" s="27"/>
    </row>
    <row r="4" spans="1:6" ht="15.6" x14ac:dyDescent="0.3">
      <c r="A4" s="26" t="s">
        <v>2</v>
      </c>
      <c r="B4" s="27"/>
      <c r="C4" s="27"/>
      <c r="D4" s="27"/>
      <c r="E4" s="27"/>
      <c r="F4" s="27"/>
    </row>
    <row r="5" spans="1:6" ht="25.05" customHeight="1" x14ac:dyDescent="0.3">
      <c r="A5" s="1" t="s">
        <v>3</v>
      </c>
      <c r="B5" s="1" t="s">
        <v>4</v>
      </c>
      <c r="C5" s="1" t="s">
        <v>5</v>
      </c>
      <c r="D5" s="1" t="s">
        <v>6</v>
      </c>
      <c r="E5" s="1" t="s">
        <v>7</v>
      </c>
      <c r="F5" s="1" t="s">
        <v>8</v>
      </c>
    </row>
    <row r="6" spans="1:6" ht="19.95" customHeight="1" x14ac:dyDescent="0.3">
      <c r="A6" s="2" t="s">
        <v>9</v>
      </c>
      <c r="B6" s="3" t="s">
        <v>10</v>
      </c>
      <c r="C6" s="4">
        <v>60</v>
      </c>
      <c r="D6" s="5">
        <v>18</v>
      </c>
      <c r="E6" s="6">
        <f t="shared" ref="E6:E11" si="0">C6*D6</f>
        <v>1080</v>
      </c>
      <c r="F6" s="7">
        <f>(C6/100)*0.125</f>
        <v>7.4999999999999997E-2</v>
      </c>
    </row>
    <row r="7" spans="1:6" ht="19.95" customHeight="1" x14ac:dyDescent="0.3">
      <c r="A7" s="8" t="s">
        <v>11</v>
      </c>
      <c r="B7" s="9" t="s">
        <v>10</v>
      </c>
      <c r="C7" s="10">
        <v>36</v>
      </c>
      <c r="D7" s="11">
        <v>16</v>
      </c>
      <c r="E7" s="12">
        <f t="shared" si="0"/>
        <v>576</v>
      </c>
      <c r="F7" s="13">
        <f>(C7/100)*0.085</f>
        <v>3.0600000000000002E-2</v>
      </c>
    </row>
    <row r="8" spans="1:6" ht="19.95" customHeight="1" x14ac:dyDescent="0.3">
      <c r="A8" s="2" t="s">
        <v>12</v>
      </c>
      <c r="B8" s="3" t="s">
        <v>13</v>
      </c>
      <c r="C8" s="4">
        <v>1.5</v>
      </c>
      <c r="D8" s="5">
        <v>9</v>
      </c>
      <c r="E8" s="6">
        <f t="shared" si="0"/>
        <v>13.5</v>
      </c>
      <c r="F8" s="7">
        <f>(C8/100)*0</f>
        <v>0</v>
      </c>
    </row>
    <row r="9" spans="1:6" ht="19.95" customHeight="1" x14ac:dyDescent="0.3">
      <c r="A9" s="8" t="s">
        <v>14</v>
      </c>
      <c r="B9" s="9" t="s">
        <v>15</v>
      </c>
      <c r="C9" s="10">
        <v>1</v>
      </c>
      <c r="D9" s="11">
        <v>10</v>
      </c>
      <c r="E9" s="12">
        <f t="shared" si="0"/>
        <v>10</v>
      </c>
      <c r="F9" s="13">
        <f>(C9/100)*0</f>
        <v>0</v>
      </c>
    </row>
    <row r="10" spans="1:6" ht="19.95" customHeight="1" x14ac:dyDescent="0.3">
      <c r="A10" s="2" t="s">
        <v>16</v>
      </c>
      <c r="B10" s="3" t="s">
        <v>17</v>
      </c>
      <c r="C10" s="4">
        <v>1</v>
      </c>
      <c r="D10" s="5">
        <v>38</v>
      </c>
      <c r="E10" s="6">
        <f t="shared" si="0"/>
        <v>38</v>
      </c>
      <c r="F10" s="7">
        <f>(C10/100)*0</f>
        <v>0</v>
      </c>
    </row>
    <row r="11" spans="1:6" ht="19.95" customHeight="1" x14ac:dyDescent="0.3">
      <c r="A11" s="8" t="s">
        <v>18</v>
      </c>
      <c r="B11" s="9" t="s">
        <v>19</v>
      </c>
      <c r="C11" s="10">
        <v>0.5</v>
      </c>
      <c r="D11" s="11">
        <v>15</v>
      </c>
      <c r="E11" s="12">
        <f t="shared" si="0"/>
        <v>7.5</v>
      </c>
      <c r="F11" s="13">
        <f>(C11/100)*0</f>
        <v>0</v>
      </c>
    </row>
    <row r="12" spans="1:6" ht="24" customHeight="1" x14ac:dyDescent="0.3">
      <c r="A12" s="14" t="s">
        <v>20</v>
      </c>
      <c r="B12" s="14" t="s">
        <v>21</v>
      </c>
      <c r="C12" s="15">
        <f>SUM(C6:C11)</f>
        <v>100</v>
      </c>
      <c r="D12" s="16">
        <f>E12/C12</f>
        <v>17.25</v>
      </c>
      <c r="E12" s="17">
        <f>SUM(E6:E11)</f>
        <v>1725</v>
      </c>
      <c r="F12" s="18">
        <f>SUM(F6:F11)</f>
        <v>0.1056</v>
      </c>
    </row>
    <row r="14" spans="1:6" ht="15.6" x14ac:dyDescent="0.3">
      <c r="A14" s="29" t="s">
        <v>22</v>
      </c>
      <c r="B14" s="27"/>
      <c r="C14" s="27"/>
      <c r="D14" s="27"/>
      <c r="E14" s="27"/>
      <c r="F14" s="27"/>
    </row>
    <row r="15" spans="1:6" ht="25.05" customHeight="1" x14ac:dyDescent="0.3">
      <c r="A15" s="19" t="s">
        <v>3</v>
      </c>
      <c r="B15" s="19" t="s">
        <v>4</v>
      </c>
      <c r="C15" s="19" t="s">
        <v>5</v>
      </c>
      <c r="D15" s="19" t="s">
        <v>6</v>
      </c>
      <c r="E15" s="19" t="s">
        <v>7</v>
      </c>
      <c r="F15" s="19" t="s">
        <v>8</v>
      </c>
    </row>
    <row r="16" spans="1:6" ht="19.95" customHeight="1" x14ac:dyDescent="0.3">
      <c r="A16" s="2" t="s">
        <v>9</v>
      </c>
      <c r="B16" s="3" t="s">
        <v>10</v>
      </c>
      <c r="C16" s="4">
        <v>70</v>
      </c>
      <c r="D16" s="5">
        <v>18</v>
      </c>
      <c r="E16" s="6">
        <f t="shared" ref="E16:E21" si="1">C16*D16</f>
        <v>1260</v>
      </c>
      <c r="F16" s="7">
        <f>(C16/100)*0.125</f>
        <v>8.7499999999999994E-2</v>
      </c>
    </row>
    <row r="17" spans="1:6" ht="19.95" customHeight="1" x14ac:dyDescent="0.3">
      <c r="A17" s="8" t="s">
        <v>11</v>
      </c>
      <c r="B17" s="9" t="s">
        <v>10</v>
      </c>
      <c r="C17" s="10">
        <v>25</v>
      </c>
      <c r="D17" s="11">
        <v>16</v>
      </c>
      <c r="E17" s="12">
        <f t="shared" si="1"/>
        <v>400</v>
      </c>
      <c r="F17" s="13">
        <f>(C17/100)*0.085</f>
        <v>2.1250000000000002E-2</v>
      </c>
    </row>
    <row r="18" spans="1:6" ht="19.95" customHeight="1" x14ac:dyDescent="0.3">
      <c r="A18" s="2" t="s">
        <v>16</v>
      </c>
      <c r="B18" s="3" t="s">
        <v>17</v>
      </c>
      <c r="C18" s="4">
        <v>1.5</v>
      </c>
      <c r="D18" s="5">
        <v>38</v>
      </c>
      <c r="E18" s="6">
        <f t="shared" si="1"/>
        <v>57</v>
      </c>
      <c r="F18" s="7">
        <f>(C18/100)*0</f>
        <v>0</v>
      </c>
    </row>
    <row r="19" spans="1:6" ht="19.95" customHeight="1" x14ac:dyDescent="0.3">
      <c r="A19" s="8" t="s">
        <v>12</v>
      </c>
      <c r="B19" s="9" t="s">
        <v>13</v>
      </c>
      <c r="C19" s="10">
        <v>1.5</v>
      </c>
      <c r="D19" s="11">
        <v>9</v>
      </c>
      <c r="E19" s="12">
        <f t="shared" si="1"/>
        <v>13.5</v>
      </c>
      <c r="F19" s="13">
        <f>(C19/100)*0</f>
        <v>0</v>
      </c>
    </row>
    <row r="20" spans="1:6" ht="19.95" customHeight="1" x14ac:dyDescent="0.3">
      <c r="A20" s="2" t="s">
        <v>18</v>
      </c>
      <c r="B20" s="3" t="s">
        <v>19</v>
      </c>
      <c r="C20" s="4">
        <v>1</v>
      </c>
      <c r="D20" s="5">
        <v>15</v>
      </c>
      <c r="E20" s="6">
        <f t="shared" si="1"/>
        <v>15</v>
      </c>
      <c r="F20" s="7">
        <f>(C20/100)*0</f>
        <v>0</v>
      </c>
    </row>
    <row r="21" spans="1:6" ht="19.95" customHeight="1" x14ac:dyDescent="0.3">
      <c r="A21" s="8" t="s">
        <v>14</v>
      </c>
      <c r="B21" s="9" t="s">
        <v>15</v>
      </c>
      <c r="C21" s="10">
        <v>1</v>
      </c>
      <c r="D21" s="11">
        <v>10</v>
      </c>
      <c r="E21" s="12">
        <f t="shared" si="1"/>
        <v>10</v>
      </c>
      <c r="F21" s="13">
        <f>(C21/100)*0</f>
        <v>0</v>
      </c>
    </row>
    <row r="22" spans="1:6" ht="24" customHeight="1" x14ac:dyDescent="0.3">
      <c r="A22" s="14" t="s">
        <v>23</v>
      </c>
      <c r="B22" s="14" t="s">
        <v>21</v>
      </c>
      <c r="C22" s="15">
        <f>SUM(C16:C21)</f>
        <v>100</v>
      </c>
      <c r="D22" s="16">
        <f>E22/C22</f>
        <v>17.555</v>
      </c>
      <c r="E22" s="17">
        <f>SUM(E16:E21)</f>
        <v>1755.5</v>
      </c>
      <c r="F22" s="18">
        <f>SUM(F16:F21)</f>
        <v>0.10875</v>
      </c>
    </row>
    <row r="24" spans="1:6" ht="15.6" x14ac:dyDescent="0.3">
      <c r="A24" s="26" t="s">
        <v>24</v>
      </c>
      <c r="B24" s="27"/>
      <c r="C24" s="27"/>
      <c r="D24" s="27"/>
      <c r="E24" s="27"/>
      <c r="F24" s="27"/>
    </row>
    <row r="25" spans="1:6" ht="25.05" customHeight="1" x14ac:dyDescent="0.3">
      <c r="A25" s="1" t="s">
        <v>25</v>
      </c>
      <c r="B25" s="1" t="s">
        <v>26</v>
      </c>
      <c r="C25" s="1" t="s">
        <v>27</v>
      </c>
      <c r="D25" s="1" t="s">
        <v>28</v>
      </c>
      <c r="E25" s="1" t="s">
        <v>29</v>
      </c>
      <c r="F25" s="1" t="s">
        <v>30</v>
      </c>
    </row>
    <row r="26" spans="1:6" ht="22.05" customHeight="1" x14ac:dyDescent="0.3">
      <c r="A26" s="2" t="s">
        <v>31</v>
      </c>
      <c r="B26" s="4">
        <v>11</v>
      </c>
      <c r="C26" s="4">
        <v>50</v>
      </c>
      <c r="D26" s="4">
        <v>35</v>
      </c>
      <c r="E26" s="4">
        <v>4</v>
      </c>
      <c r="F26" s="20">
        <f>(11*0.44 + 50*0.125 + 35*0.085)/100</f>
        <v>0.14065</v>
      </c>
    </row>
    <row r="27" spans="1:6" ht="22.05" customHeight="1" x14ac:dyDescent="0.3">
      <c r="A27" s="2" t="s">
        <v>32</v>
      </c>
      <c r="B27" s="4">
        <v>18</v>
      </c>
      <c r="C27" s="4">
        <v>50</v>
      </c>
      <c r="D27" s="4">
        <v>22</v>
      </c>
      <c r="E27" s="4">
        <v>5</v>
      </c>
      <c r="F27" s="20">
        <f>(18*0.44 + 50*0.125 + 22*0.085)/100</f>
        <v>0.16039999999999999</v>
      </c>
    </row>
  </sheetData>
  <mergeCells count="5">
    <mergeCell ref="A24:F24"/>
    <mergeCell ref="A2:F2"/>
    <mergeCell ref="A14:F14"/>
    <mergeCell ref="A1:F1"/>
    <mergeCell ref="A4:F4"/>
  </mergeCells>
  <pageMargins left="0.74803149606299213" right="0.74803149606299213" top="0.98425196850393704" bottom="0.98425196850393704" header="0.51181102362204722" footer="0.51181102362204722"/>
  <pageSetup paperSize="9" scale="64" fitToHeight="0" orientation="portrait" verticalDpi="0" r:id="rId1"/>
  <headerFooter>
    <oddHeader>&amp;A</oddHeader>
    <oddFooter>&amp;Z&amp;F&amp;RPage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8"/>
  <sheetViews>
    <sheetView tabSelected="1" workbookViewId="0">
      <selection sqref="A1:B8"/>
    </sheetView>
  </sheetViews>
  <sheetFormatPr defaultRowHeight="14.4" x14ac:dyDescent="0.3"/>
  <cols>
    <col min="1" max="1" width="30" customWidth="1"/>
    <col min="2" max="2" width="85" customWidth="1"/>
  </cols>
  <sheetData>
    <row r="1" spans="1:4" ht="34.950000000000003" customHeight="1" x14ac:dyDescent="0.3">
      <c r="A1" s="30" t="s">
        <v>33</v>
      </c>
      <c r="B1" s="30"/>
      <c r="C1" s="31"/>
      <c r="D1" s="31"/>
    </row>
    <row r="3" spans="1:4" ht="25.05" customHeight="1" x14ac:dyDescent="0.3">
      <c r="A3" s="21" t="s">
        <v>34</v>
      </c>
      <c r="B3" s="21" t="s">
        <v>35</v>
      </c>
    </row>
    <row r="4" spans="1:4" ht="55.05" customHeight="1" x14ac:dyDescent="0.3">
      <c r="A4" s="22" t="s">
        <v>36</v>
      </c>
      <c r="B4" s="23" t="s">
        <v>37</v>
      </c>
    </row>
    <row r="5" spans="1:4" ht="55.05" customHeight="1" x14ac:dyDescent="0.3">
      <c r="A5" s="24" t="s">
        <v>38</v>
      </c>
      <c r="B5" s="25" t="s">
        <v>39</v>
      </c>
    </row>
    <row r="6" spans="1:4" ht="55.05" customHeight="1" x14ac:dyDescent="0.3">
      <c r="A6" s="22" t="s">
        <v>40</v>
      </c>
      <c r="B6" s="23" t="s">
        <v>41</v>
      </c>
    </row>
    <row r="7" spans="1:4" ht="55.05" customHeight="1" x14ac:dyDescent="0.3">
      <c r="A7" s="24" t="s">
        <v>42</v>
      </c>
      <c r="B7" s="25" t="s">
        <v>43</v>
      </c>
    </row>
    <row r="8" spans="1:4" ht="55.05" customHeight="1" x14ac:dyDescent="0.3">
      <c r="A8" s="22" t="s">
        <v>44</v>
      </c>
      <c r="B8" s="23" t="s">
        <v>45</v>
      </c>
    </row>
  </sheetData>
  <mergeCells count="1">
    <mergeCell ref="A1:B1"/>
  </mergeCells>
  <printOptions horizontalCentered="1"/>
  <pageMargins left="0.74803149606299213" right="0.74803149606299213" top="0.98425196850393704" bottom="0.98425196850393704" header="0.51181102362204722" footer="0.51181102362204722"/>
  <pageSetup paperSize="9" orientation="landscape" verticalDpi="0" r:id="rId1"/>
  <headerFooter>
    <oddHeader>&amp;A</oddHeader>
    <oddFooter>&amp;Z&amp;F&amp;RPage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Feed Formulator &amp; Costing</vt:lpstr>
      <vt:lpstr>Recommendations &amp; Guidelines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Salama salama</cp:lastModifiedBy>
  <cp:lastPrinted>2026-10-01T05:02:45Z</cp:lastPrinted>
  <dcterms:created xsi:type="dcterms:W3CDTF">2026-09-30T11:57:36Z</dcterms:created>
  <dcterms:modified xsi:type="dcterms:W3CDTF">2026-10-01T05:03:24Z</dcterms:modified>
</cp:coreProperties>
</file>