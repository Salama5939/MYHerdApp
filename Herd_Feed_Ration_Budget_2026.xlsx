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phouse\MyHerdApp\"/>
    </mc:Choice>
  </mc:AlternateContent>
  <xr:revisionPtr revIDLastSave="0" documentId="13_ncr:1_{85C1A401-EF0E-4189-B373-E8815A2EC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ed Ration Budget" sheetId="1" r:id="rId1"/>
  </sheets>
  <calcPr calcId="191029"/>
</workbook>
</file>

<file path=xl/calcChain.xml><?xml version="1.0" encoding="utf-8"?>
<calcChain xmlns="http://schemas.openxmlformats.org/spreadsheetml/2006/main">
  <c r="B11" i="1" l="1"/>
  <c r="I10" i="1"/>
  <c r="F10" i="1"/>
  <c r="G10" i="1" s="1"/>
  <c r="D10" i="1"/>
  <c r="I9" i="1"/>
  <c r="F9" i="1"/>
  <c r="G9" i="1" s="1"/>
  <c r="D9" i="1"/>
  <c r="I8" i="1"/>
  <c r="F8" i="1"/>
  <c r="G8" i="1" s="1"/>
  <c r="D8" i="1"/>
  <c r="I7" i="1"/>
  <c r="F7" i="1"/>
  <c r="G7" i="1" s="1"/>
  <c r="D7" i="1"/>
  <c r="I6" i="1"/>
  <c r="F6" i="1"/>
  <c r="G6" i="1" s="1"/>
  <c r="D6" i="1"/>
  <c r="I5" i="1"/>
  <c r="F5" i="1"/>
  <c r="G5" i="1" s="1"/>
  <c r="D5" i="1"/>
  <c r="D11" i="1" l="1"/>
  <c r="L10" i="1"/>
  <c r="K10" i="1"/>
  <c r="M10" i="1" s="1"/>
  <c r="N10" i="1" s="1"/>
  <c r="L7" i="1"/>
  <c r="K7" i="1"/>
  <c r="M7" i="1" s="1"/>
  <c r="N7" i="1" s="1"/>
  <c r="G11" i="1"/>
  <c r="L5" i="1"/>
  <c r="K5" i="1"/>
  <c r="L9" i="1"/>
  <c r="K9" i="1"/>
  <c r="L6" i="1"/>
  <c r="K6" i="1"/>
  <c r="L8" i="1"/>
  <c r="K8" i="1"/>
  <c r="M8" i="1" s="1"/>
  <c r="N8" i="1" s="1"/>
  <c r="M6" i="1" l="1"/>
  <c r="N6" i="1" s="1"/>
  <c r="M5" i="1"/>
  <c r="K11" i="1"/>
  <c r="L11" i="1"/>
  <c r="M9" i="1"/>
  <c r="N9" i="1" s="1"/>
  <c r="M11" i="1" l="1"/>
  <c r="N5" i="1"/>
  <c r="N11" i="1" s="1"/>
</calcChain>
</file>

<file path=xl/sharedStrings.xml><?xml version="1.0" encoding="utf-8"?>
<sst xmlns="http://schemas.openxmlformats.org/spreadsheetml/2006/main" count="29" uniqueCount="24">
  <si>
    <t>HERD FEED CONSUMPTION BUDGET &amp; DAILY RATION CALCULATOR (133 VERIFIED HEAD)</t>
  </si>
  <si>
    <t>Audit Date: September 30, 2026 | Active Scope: 133 Verified Head | As-Fed Dry Matter Basis: 90%</t>
  </si>
  <si>
    <t>Category Classification</t>
  </si>
  <si>
    <t>Head Count (N)</t>
  </si>
  <si>
    <t>Avg Live Weight (kg)</t>
  </si>
  <si>
    <t>Total Group Biomass (kg)</t>
  </si>
  <si>
    <t>DMI % of BW</t>
  </si>
  <si>
    <t>Daily DMI / Head (kg)</t>
  </si>
  <si>
    <t>Total Group DMI (kg/day)</t>
  </si>
  <si>
    <t>Concentrate Ratio %</t>
  </si>
  <si>
    <t>Roughage Ratio %</t>
  </si>
  <si>
    <t>Feed Dry Matter %</t>
  </si>
  <si>
    <t>Daily Concentrate As-Fed (kg)</t>
  </si>
  <si>
    <t>Daily Roughage As-Fed (kg)</t>
  </si>
  <si>
    <t>Total Daily Feed As-Fed (kg)</t>
  </si>
  <si>
    <t>Monthly Feed Demand (Tons)</t>
  </si>
  <si>
    <t>Ewes (Open / Lactating)</t>
  </si>
  <si>
    <t>Pregnant Ewes</t>
  </si>
  <si>
    <t>(Small) Female Lambs</t>
  </si>
  <si>
    <t>(Small) Male Lambs</t>
  </si>
  <si>
    <t>Fattening Lambs</t>
  </si>
  <si>
    <t>Permanent Sires (Rams)</t>
  </si>
  <si>
    <t>TOTAL HERD BUDGET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</si>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</sst>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95959"/>
      <name val="Calibri"/>
    </font>
    <font>
      <b/>
      <sz val="9.5"/>
      <color rgb="FFFFFFFF"/>
      <name val="Calibri"/>
    </font>
    <font>
      <b/>
      <sz val="10"/>
      <name val="Calibri"/>
    </font>
    <font>
      <sz val="10"/>
      <name val="Calibri"/>
    </font>
    <font>
      <b/>
      <sz val="10.5"/>
      <color rgb="FF1F497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thin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/>
    <xf numFmtId="3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0" fontId="4" fillId="0" borderId="1" xfId="0" applyFont="1" applyBorder="1"/>
    <xf numFmtId="3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6" fillId="4" borderId="2" xfId="0" applyFont="1" applyFill="1" applyBorder="1"/>
    <xf numFmtId="3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4" fontId="6" fillId="4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"/>
  <sheetViews>
    <sheetView tabSelected="1" workbookViewId="0">
      <selection activeCell="L5" sqref="L5"/>
    </sheetView>
  </sheetViews>
  <sheetFormatPr defaultRowHeight="14.4" x14ac:dyDescent="0.3"/>
  <cols>
    <col min="1" max="1" width="21.21875" customWidth="1"/>
    <col min="2" max="14" width="14.77734375" customWidth="1"/>
  </cols>
  <sheetData>
    <row r="1" spans="1:14" ht="34.950000000000003" customHeight="1" x14ac:dyDescent="0.3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95" customHeight="1" x14ac:dyDescent="0.3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s="24" customFormat="1" ht="37.799999999999997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2.05" customHeight="1" x14ac:dyDescent="0.3">
      <c r="A5" s="2" t="s">
        <v>16</v>
      </c>
      <c r="B5" s="3">
        <v>31</v>
      </c>
      <c r="C5" s="4">
        <v>50</v>
      </c>
      <c r="D5" s="4">
        <f t="shared" ref="D5:D10" si="0">B5*C5</f>
        <v>1550</v>
      </c>
      <c r="E5" s="5">
        <v>3.5000000000000003E-2</v>
      </c>
      <c r="F5" s="6">
        <f t="shared" ref="F5:F10" si="1">C5*E5</f>
        <v>1.7500000000000002</v>
      </c>
      <c r="G5" s="7">
        <f t="shared" ref="G5:G10" si="2">B5*F5</f>
        <v>54.250000000000007</v>
      </c>
      <c r="H5" s="5">
        <v>0.5</v>
      </c>
      <c r="I5" s="5">
        <f t="shared" ref="I5:I10" si="3">1-H5</f>
        <v>0.5</v>
      </c>
      <c r="J5" s="5">
        <v>0.9</v>
      </c>
      <c r="K5" s="7">
        <f t="shared" ref="K5:K10" si="4">(G5*H5)/J5</f>
        <v>30.138888888888893</v>
      </c>
      <c r="L5" s="7">
        <f t="shared" ref="L5:L10" si="5">(G5*I5)/J5</f>
        <v>30.138888888888893</v>
      </c>
      <c r="M5" s="8">
        <f t="shared" ref="M5:M10" si="6">K5+L5</f>
        <v>60.277777777777786</v>
      </c>
      <c r="N5" s="8">
        <f t="shared" ref="N5:N10" si="7">(M5*30)/1000</f>
        <v>1.8083333333333336</v>
      </c>
    </row>
    <row r="6" spans="1:14" ht="22.05" customHeight="1" x14ac:dyDescent="0.3">
      <c r="A6" s="9" t="s">
        <v>17</v>
      </c>
      <c r="B6" s="10">
        <v>30</v>
      </c>
      <c r="C6" s="11">
        <v>55</v>
      </c>
      <c r="D6" s="11">
        <f t="shared" si="0"/>
        <v>1650</v>
      </c>
      <c r="E6" s="12">
        <v>3.7999999999999999E-2</v>
      </c>
      <c r="F6" s="13">
        <f t="shared" si="1"/>
        <v>2.09</v>
      </c>
      <c r="G6" s="14">
        <f t="shared" si="2"/>
        <v>62.699999999999996</v>
      </c>
      <c r="H6" s="12">
        <v>0.55000000000000004</v>
      </c>
      <c r="I6" s="12">
        <f t="shared" si="3"/>
        <v>0.44999999999999996</v>
      </c>
      <c r="J6" s="12">
        <v>0.9</v>
      </c>
      <c r="K6" s="14">
        <f t="shared" si="4"/>
        <v>38.316666666666663</v>
      </c>
      <c r="L6" s="14">
        <f t="shared" si="5"/>
        <v>31.349999999999994</v>
      </c>
      <c r="M6" s="15">
        <f t="shared" si="6"/>
        <v>69.666666666666657</v>
      </c>
      <c r="N6" s="15">
        <f t="shared" si="7"/>
        <v>2.0899999999999994</v>
      </c>
    </row>
    <row r="7" spans="1:14" ht="22.05" customHeight="1" x14ac:dyDescent="0.3">
      <c r="A7" s="2" t="s">
        <v>18</v>
      </c>
      <c r="B7" s="3">
        <v>25</v>
      </c>
      <c r="C7" s="4">
        <v>22</v>
      </c>
      <c r="D7" s="4">
        <f t="shared" si="0"/>
        <v>550</v>
      </c>
      <c r="E7" s="5">
        <v>3.5000000000000003E-2</v>
      </c>
      <c r="F7" s="6">
        <f t="shared" si="1"/>
        <v>0.77</v>
      </c>
      <c r="G7" s="7">
        <f t="shared" si="2"/>
        <v>19.25</v>
      </c>
      <c r="H7" s="5">
        <v>0.5</v>
      </c>
      <c r="I7" s="5">
        <f t="shared" si="3"/>
        <v>0.5</v>
      </c>
      <c r="J7" s="5">
        <v>0.9</v>
      </c>
      <c r="K7" s="7">
        <f t="shared" si="4"/>
        <v>10.694444444444445</v>
      </c>
      <c r="L7" s="7">
        <f t="shared" si="5"/>
        <v>10.694444444444445</v>
      </c>
      <c r="M7" s="8">
        <f t="shared" si="6"/>
        <v>21.388888888888889</v>
      </c>
      <c r="N7" s="8">
        <f t="shared" si="7"/>
        <v>0.64166666666666661</v>
      </c>
    </row>
    <row r="8" spans="1:14" ht="22.05" customHeight="1" x14ac:dyDescent="0.3">
      <c r="A8" s="9" t="s">
        <v>19</v>
      </c>
      <c r="B8" s="10">
        <v>10</v>
      </c>
      <c r="C8" s="11">
        <v>20</v>
      </c>
      <c r="D8" s="11">
        <f t="shared" si="0"/>
        <v>200</v>
      </c>
      <c r="E8" s="12">
        <v>3.5000000000000003E-2</v>
      </c>
      <c r="F8" s="13">
        <f t="shared" si="1"/>
        <v>0.70000000000000007</v>
      </c>
      <c r="G8" s="14">
        <f t="shared" si="2"/>
        <v>7.0000000000000009</v>
      </c>
      <c r="H8" s="12">
        <v>0.5</v>
      </c>
      <c r="I8" s="12">
        <f t="shared" si="3"/>
        <v>0.5</v>
      </c>
      <c r="J8" s="12">
        <v>0.9</v>
      </c>
      <c r="K8" s="14">
        <f t="shared" si="4"/>
        <v>3.8888888888888893</v>
      </c>
      <c r="L8" s="14">
        <f t="shared" si="5"/>
        <v>3.8888888888888893</v>
      </c>
      <c r="M8" s="15">
        <f t="shared" si="6"/>
        <v>7.7777777777777786</v>
      </c>
      <c r="N8" s="15">
        <f t="shared" si="7"/>
        <v>0.23333333333333336</v>
      </c>
    </row>
    <row r="9" spans="1:14" ht="22.05" customHeight="1" x14ac:dyDescent="0.3">
      <c r="A9" s="2" t="s">
        <v>20</v>
      </c>
      <c r="B9" s="3">
        <v>35</v>
      </c>
      <c r="C9" s="4">
        <v>25</v>
      </c>
      <c r="D9" s="4">
        <f t="shared" si="0"/>
        <v>875</v>
      </c>
      <c r="E9" s="5">
        <v>0.04</v>
      </c>
      <c r="F9" s="6">
        <f t="shared" si="1"/>
        <v>1</v>
      </c>
      <c r="G9" s="7">
        <f t="shared" si="2"/>
        <v>35</v>
      </c>
      <c r="H9" s="5">
        <v>0.65</v>
      </c>
      <c r="I9" s="5">
        <f t="shared" si="3"/>
        <v>0.35</v>
      </c>
      <c r="J9" s="5">
        <v>0.9</v>
      </c>
      <c r="K9" s="7">
        <f t="shared" si="4"/>
        <v>25.277777777777779</v>
      </c>
      <c r="L9" s="7">
        <f t="shared" si="5"/>
        <v>13.611111111111111</v>
      </c>
      <c r="M9" s="8">
        <f t="shared" si="6"/>
        <v>38.888888888888886</v>
      </c>
      <c r="N9" s="8">
        <f t="shared" si="7"/>
        <v>1.1666666666666665</v>
      </c>
    </row>
    <row r="10" spans="1:14" ht="22.05" customHeight="1" x14ac:dyDescent="0.3">
      <c r="A10" s="9" t="s">
        <v>21</v>
      </c>
      <c r="B10" s="10">
        <v>2</v>
      </c>
      <c r="C10" s="11">
        <v>70</v>
      </c>
      <c r="D10" s="11">
        <f t="shared" si="0"/>
        <v>140</v>
      </c>
      <c r="E10" s="12">
        <v>2.5000000000000001E-2</v>
      </c>
      <c r="F10" s="13">
        <f t="shared" si="1"/>
        <v>1.75</v>
      </c>
      <c r="G10" s="14">
        <f t="shared" si="2"/>
        <v>3.5</v>
      </c>
      <c r="H10" s="12">
        <v>0.4</v>
      </c>
      <c r="I10" s="12">
        <f t="shared" si="3"/>
        <v>0.6</v>
      </c>
      <c r="J10" s="12">
        <v>0.9</v>
      </c>
      <c r="K10" s="14">
        <f t="shared" si="4"/>
        <v>1.5555555555555556</v>
      </c>
      <c r="L10" s="14">
        <f t="shared" si="5"/>
        <v>2.3333333333333335</v>
      </c>
      <c r="M10" s="15">
        <f t="shared" si="6"/>
        <v>3.8888888888888893</v>
      </c>
      <c r="N10" s="15">
        <f t="shared" si="7"/>
        <v>0.11666666666666668</v>
      </c>
    </row>
    <row r="11" spans="1:14" ht="25.95" customHeight="1" x14ac:dyDescent="0.3">
      <c r="A11" s="16" t="s">
        <v>22</v>
      </c>
      <c r="B11" s="17">
        <f>SUM(B5:B10)</f>
        <v>133</v>
      </c>
      <c r="C11" s="18" t="s">
        <v>23</v>
      </c>
      <c r="D11" s="19">
        <f>SUM(D5:D10)</f>
        <v>4965</v>
      </c>
      <c r="E11" s="18" t="s">
        <v>23</v>
      </c>
      <c r="F11" s="18" t="s">
        <v>23</v>
      </c>
      <c r="G11" s="20">
        <f>SUM(G5:G10)</f>
        <v>181.7</v>
      </c>
      <c r="H11" s="18" t="s">
        <v>23</v>
      </c>
      <c r="I11" s="18" t="s">
        <v>23</v>
      </c>
      <c r="J11" s="18" t="s">
        <v>23</v>
      </c>
      <c r="K11" s="20">
        <f>SUM(K5:K10)</f>
        <v>109.87222222222222</v>
      </c>
      <c r="L11" s="20">
        <f>SUM(L5:L10)</f>
        <v>92.016666666666666</v>
      </c>
      <c r="M11" s="20">
        <f>SUM(M5:M10)</f>
        <v>201.88888888888889</v>
      </c>
      <c r="N11" s="20">
        <f>SUM(N5:N10)</f>
        <v>6.0566666666666658</v>
      </c>
    </row>
  </sheetData>
  <mergeCells count="2">
    <mergeCell ref="A2:N2"/>
    <mergeCell ref="A1:N1"/>
  </mergeCells>
  <pageMargins left="0.74803149606299213" right="0.74803149606299213" top="0.98425196850393704" bottom="0.98425196850393704" header="0.51181102362204722" footer="0.51181102362204722"/>
  <pageSetup paperSize="9" scale="60" fitToHeight="0" orientation="landscape" verticalDpi="0" r:id="rId1"/>
  <headerFooter>
    <oddHeader>&amp;A</oddHeader>
    <oddFooter>&amp;Z&amp;F&amp;RPage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 Ration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Salama salama</cp:lastModifiedBy>
  <cp:lastPrinted>2026-10-01T04:54:17Z</cp:lastPrinted>
  <dcterms:created xsi:type="dcterms:W3CDTF">2026-09-30T08:48:25Z</dcterms:created>
  <dcterms:modified xsi:type="dcterms:W3CDTF">2026-10-01T04:54:58Z</dcterms:modified>
</cp:coreProperties>
</file>