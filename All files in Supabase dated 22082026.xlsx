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phouse\MyHerdApp\"/>
    </mc:Choice>
  </mc:AlternateContent>
  <xr:revisionPtr revIDLastSave="0" documentId="13_ncr:1_{673E5BF9-D7A9-437C-9CCD-4AB132897EC3}" xr6:coauthVersionLast="47" xr6:coauthVersionMax="47" xr10:uidLastSave="{00000000-0000-0000-0000-000000000000}"/>
  <bookViews>
    <workbookView xWindow="-108" yWindow="-108" windowWidth="23256" windowHeight="12456" firstSheet="5" activeTab="8" xr2:uid="{12D15176-B310-49B1-A129-21A916846344}"/>
  </bookViews>
  <sheets>
    <sheet name="birth_records_rows" sheetId="16" r:id="rId1"/>
    <sheet name="chart_of_accounts_rows" sheetId="14" r:id="rId2"/>
    <sheet name="feed_recipes_rows" sheetId="13" r:id="rId3"/>
    <sheet name="feeding_standards_rows" sheetId="12" r:id="rId4"/>
    <sheet name="financial_transactions_rows" sheetId="11" r:id="rId5"/>
    <sheet name="herd_rows" sheetId="10" r:id="rId6"/>
    <sheet name="inventory_rows" sheetId="9" r:id="rId7"/>
    <sheet name="Sheet1" sheetId="17" r:id="rId8"/>
    <sheet name="inventory_logs_rows" sheetId="8" r:id="rId9"/>
    <sheet name="printable_financial_ledger_rows" sheetId="7" r:id="rId10"/>
    <sheet name="view_batch_profitability_rows" sheetId="6" r:id="rId11"/>
    <sheet name="view_fattening_performance_rows" sheetId="5" r:id="rId12"/>
    <sheet name="view_general_herd_rows" sheetId="4" r:id="rId13"/>
    <sheet name="view_herd_maintenance_cost_rows" sheetId="3" r:id="rId14"/>
    <sheet name="weight_logs_rows" sheetId="2" r:id="rId15"/>
  </sheets>
  <definedNames>
    <definedName name="ExternalData_1" localSheetId="14" hidden="1">weight_logs_rows!$A$1:$I$133</definedName>
    <definedName name="ExternalData_10" localSheetId="4" hidden="1">financial_transactions_rows!$A$1:$H$357</definedName>
    <definedName name="ExternalData_11" localSheetId="3" hidden="1">feeding_standards_rows!$A$1:$D$9</definedName>
    <definedName name="ExternalData_12" localSheetId="2" hidden="1">feed_recipes_rows!$A$1:$C$3</definedName>
    <definedName name="ExternalData_13" localSheetId="1" hidden="1">chart_of_accounts_rows!$A$1:$C$15</definedName>
    <definedName name="ExternalData_14" localSheetId="0" hidden="1">birth_records_rows!$A$1:$G$10</definedName>
    <definedName name="ExternalData_2" localSheetId="13" hidden="1">view_herd_maintenance_cost_rows!$A$1:$D$157</definedName>
    <definedName name="ExternalData_3" localSheetId="12" hidden="1">view_general_herd_rows!$A$1:$F$149</definedName>
    <definedName name="ExternalData_4" localSheetId="11" hidden="1">view_fattening_performance_rows!$A$1:$G$52</definedName>
    <definedName name="ExternalData_5" localSheetId="10" hidden="1">view_batch_profitability_rows!$A$1:$E$200</definedName>
    <definedName name="ExternalData_6" localSheetId="9" hidden="1">printable_financial_ledger_rows!$A$1:$F$357</definedName>
    <definedName name="ExternalData_7" localSheetId="8" hidden="1">inventory_logs_rows!$A$1:$E$38</definedName>
    <definedName name="ExternalData_8" localSheetId="6" hidden="1">inventory_rows!$A$1:$E$7</definedName>
    <definedName name="ExternalData_9" localSheetId="5" hidden="1">herd_rows!$A$1:$L$200</definedName>
  </definedNames>
  <calcPr calcId="191029"/>
  <pivotCaches>
    <pivotCache cacheId="15" r:id="rId1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01" i="10" l="1"/>
  <c r="L201" i="10"/>
  <c r="D53" i="5"/>
  <c r="E53" i="5"/>
  <c r="F53" i="5"/>
  <c r="G53" i="5"/>
  <c r="C201" i="6"/>
  <c r="D201" i="6"/>
  <c r="E201" i="6"/>
  <c r="E358" i="7"/>
  <c r="F358" i="7"/>
  <c r="C39" i="8"/>
  <c r="B8" i="9"/>
  <c r="F2" i="9"/>
  <c r="F3" i="9"/>
  <c r="F4" i="9"/>
  <c r="F5" i="9"/>
  <c r="F6" i="9"/>
  <c r="F7" i="9"/>
  <c r="F8" i="9" l="1"/>
  <c r="H2" i="8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51324A1-0184-4A21-9071-4161DBA0FCC4}" keepAlive="1" name="Query - birth_records_rows" description="Connection to the 'birth_records_rows' query in the workbook." type="5" refreshedVersion="8" background="1" saveData="1">
    <dbPr connection="Provider=Microsoft.Mashup.OleDb.1;Data Source=$Workbook$;Location=birth_records_rows;Extended Properties=&quot;&quot;" command="SELECT * FROM [birth_records_rows]"/>
  </connection>
  <connection id="2" xr16:uid="{D9721C03-B16C-4A18-B093-50D7815ACCA1}" keepAlive="1" name="Query - chart_of_accounts_rows (1)" description="Connection to the 'chart_of_accounts_rows (1)' query in the workbook." type="5" refreshedVersion="8" background="1" saveData="1">
    <dbPr connection="Provider=Microsoft.Mashup.OleDb.1;Data Source=$Workbook$;Location=&quot;chart_of_accounts_rows (1)&quot;;Extended Properties=&quot;&quot;" command="SELECT * FROM [chart_of_accounts_rows (1)]"/>
  </connection>
  <connection id="3" xr16:uid="{F3594584-8012-4E10-9E14-58086DB6A2D8}" keepAlive="1" name="Query - Farm_Data_Cleanup_Checklist" description="Connection to the 'Farm_Data_Cleanup_Checklist' query in the workbook." type="5" refreshedVersion="8" background="1" saveData="1">
    <dbPr connection="Provider=Microsoft.Mashup.OleDb.1;Data Source=$Workbook$;Location=Farm_Data_Cleanup_Checklist;Extended Properties=&quot;&quot;" command="SELECT * FROM [Farm_Data_Cleanup_Checklist]"/>
  </connection>
  <connection id="4" xr16:uid="{E0A5511D-8B46-4022-B683-4F90A9969D81}" keepAlive="1" name="Query - feed_recipes_rows" description="Connection to the 'feed_recipes_rows' query in the workbook." type="5" refreshedVersion="8" background="1" saveData="1">
    <dbPr connection="Provider=Microsoft.Mashup.OleDb.1;Data Source=$Workbook$;Location=feed_recipes_rows;Extended Properties=&quot;&quot;" command="SELECT * FROM [feed_recipes_rows]"/>
  </connection>
  <connection id="5" xr16:uid="{EA56210C-BA8A-459F-BC6B-FDB6FDB4DECC}" keepAlive="1" name="Query - feeding_standards_rows" description="Connection to the 'feeding_standards_rows' query in the workbook." type="5" refreshedVersion="8" background="1" saveData="1">
    <dbPr connection="Provider=Microsoft.Mashup.OleDb.1;Data Source=$Workbook$;Location=feeding_standards_rows;Extended Properties=&quot;&quot;" command="SELECT * FROM [feeding_standards_rows]"/>
  </connection>
  <connection id="6" xr16:uid="{1F0B4DD6-C9B1-45CB-A000-2B3B43B6D208}" keepAlive="1" name="Query - financial_transactions_rows (4)" description="Connection to the 'financial_transactions_rows (4)' query in the workbook." type="5" refreshedVersion="8" background="1" saveData="1">
    <dbPr connection="Provider=Microsoft.Mashup.OleDb.1;Data Source=$Workbook$;Location=&quot;financial_transactions_rows (4)&quot;;Extended Properties=&quot;&quot;" command="SELECT * FROM [financial_transactions_rows (4)]"/>
  </connection>
  <connection id="7" xr16:uid="{57796627-D0DC-4ADE-A104-74566759FC70}" keepAlive="1" name="Query - herd_rows" description="Connection to the 'herd_rows' query in the workbook." type="5" refreshedVersion="8" background="1" saveData="1">
    <dbPr connection="Provider=Microsoft.Mashup.OleDb.1;Data Source=$Workbook$;Location=herd_rows;Extended Properties=&quot;&quot;" command="SELECT * FROM [herd_rows]"/>
  </connection>
  <connection id="8" xr16:uid="{2003E94E-2381-4690-8F1C-0F663A50CE4D}" keepAlive="1" name="Query - inventory_logs_rows (2)" description="Connection to the 'inventory_logs_rows (2)' query in the workbook." type="5" refreshedVersion="8" background="1" saveData="1">
    <dbPr connection="Provider=Microsoft.Mashup.OleDb.1;Data Source=$Workbook$;Location=&quot;inventory_logs_rows (2)&quot;;Extended Properties=&quot;&quot;" command="SELECT * FROM [inventory_logs_rows (2)]"/>
  </connection>
  <connection id="9" xr16:uid="{D99ACED3-E6FE-4F4C-A191-F9864AA2981B}" keepAlive="1" name="Query - inventory_rows (1)" description="Connection to the 'inventory_rows (1)' query in the workbook." type="5" refreshedVersion="8" background="1" saveData="1">
    <dbPr connection="Provider=Microsoft.Mashup.OleDb.1;Data Source=$Workbook$;Location=&quot;inventory_rows (1)&quot;;Extended Properties=&quot;&quot;" command="SELECT * FROM [inventory_rows (1)]"/>
  </connection>
  <connection id="10" xr16:uid="{73B8D612-B591-4996-8BDB-8D7D6E32BB44}" keepAlive="1" name="Query - printable_financial_ledger_rows (2)" description="Connection to the 'printable_financial_ledger_rows (2)' query in the workbook." type="5" refreshedVersion="8" background="1" saveData="1">
    <dbPr connection="Provider=Microsoft.Mashup.OleDb.1;Data Source=$Workbook$;Location=&quot;printable_financial_ledger_rows (2)&quot;;Extended Properties=&quot;&quot;" command="SELECT * FROM [printable_financial_ledger_rows (2)]"/>
  </connection>
  <connection id="11" xr16:uid="{257918F2-6C42-474E-BAB2-7B1C06874D22}" keepAlive="1" name="Query - view_batch_profitability_rows" description="Connection to the 'view_batch_profitability_rows' query in the workbook." type="5" refreshedVersion="8" background="1" saveData="1">
    <dbPr connection="Provider=Microsoft.Mashup.OleDb.1;Data Source=$Workbook$;Location=view_batch_profitability_rows;Extended Properties=&quot;&quot;" command="SELECT * FROM [view_batch_profitability_rows]"/>
  </connection>
  <connection id="12" xr16:uid="{12B59A11-4F04-4CE3-97ED-D32765B4E60B}" keepAlive="1" name="Query - view_fattening_performance_rows" description="Connection to the 'view_fattening_performance_rows' query in the workbook." type="5" refreshedVersion="8" background="1" saveData="1">
    <dbPr connection="Provider=Microsoft.Mashup.OleDb.1;Data Source=$Workbook$;Location=view_fattening_performance_rows;Extended Properties=&quot;&quot;" command="SELECT * FROM [view_fattening_performance_rows]"/>
  </connection>
  <connection id="13" xr16:uid="{97E06530-6DD8-48DA-9976-C4562526404C}" keepAlive="1" name="Query - view_general_herd_rows" description="Connection to the 'view_general_herd_rows' query in the workbook." type="5" refreshedVersion="8" background="1" saveData="1">
    <dbPr connection="Provider=Microsoft.Mashup.OleDb.1;Data Source=$Workbook$;Location=view_general_herd_rows;Extended Properties=&quot;&quot;" command="SELECT * FROM [view_general_herd_rows]"/>
  </connection>
  <connection id="14" xr16:uid="{B78AB1C7-E6F0-4BFE-9085-D46B8DFAB36E}" keepAlive="1" name="Query - view_herd_maintenance_cost_rows" description="Connection to the 'view_herd_maintenance_cost_rows' query in the workbook." type="5" refreshedVersion="8" background="1" saveData="1">
    <dbPr connection="Provider=Microsoft.Mashup.OleDb.1;Data Source=$Workbook$;Location=view_herd_maintenance_cost_rows;Extended Properties=&quot;&quot;" command="SELECT * FROM [view_herd_maintenance_cost_rows]"/>
  </connection>
  <connection id="15" xr16:uid="{55D772E6-672B-45C4-BE99-D4FBFF474C69}" keepAlive="1" name="Query - weight_logs_rows" description="Connection to the 'weight_logs_rows' query in the workbook." type="5" refreshedVersion="8" background="1" saveData="1">
    <dbPr connection="Provider=Microsoft.Mashup.OleDb.1;Data Source=$Workbook$;Location=weight_logs_rows;Extended Properties=&quot;&quot;" command="SELECT * FROM [weight_logs_rows]"/>
  </connection>
</connections>
</file>

<file path=xl/sharedStrings.xml><?xml version="1.0" encoding="utf-8"?>
<sst xmlns="http://schemas.openxmlformats.org/spreadsheetml/2006/main" count="3590" uniqueCount="376">
  <si>
    <t>id</t>
  </si>
  <si>
    <t>tag_no</t>
  </si>
  <si>
    <t>weight_kg</t>
  </si>
  <si>
    <t>feed_consumed_since_last_kg</t>
  </si>
  <si>
    <t>weigh_date</t>
  </si>
  <si>
    <t>comments</t>
  </si>
  <si>
    <t>entry_date</t>
  </si>
  <si>
    <t>feed_cost</t>
  </si>
  <si>
    <t>bridge_synced</t>
  </si>
  <si>
    <t>First Stock Take</t>
  </si>
  <si>
    <t>Second Stock Take</t>
  </si>
  <si>
    <t>Third Stock Take</t>
  </si>
  <si>
    <t>Slaughtered</t>
  </si>
  <si>
    <t xml:space="preserve">Third Stock Take </t>
  </si>
  <si>
    <t>Second Stock take</t>
  </si>
  <si>
    <t>category</t>
  </si>
  <si>
    <t>status</t>
  </si>
  <si>
    <t>total_maintenance_cost</t>
  </si>
  <si>
    <t>Ewes</t>
  </si>
  <si>
    <t>Active/Healthy</t>
  </si>
  <si>
    <t>Pregnant</t>
  </si>
  <si>
    <t>(Small) (Female)</t>
  </si>
  <si>
    <t>Died</t>
  </si>
  <si>
    <t>fattening</t>
  </si>
  <si>
    <t>(Small) (Male)</t>
  </si>
  <si>
    <t>Permanent Sire</t>
  </si>
  <si>
    <t>Zakate</t>
  </si>
  <si>
    <t>Small - Female</t>
  </si>
  <si>
    <t>Small - Male</t>
  </si>
  <si>
    <t>registration_date</t>
  </si>
  <si>
    <t>birth_date</t>
  </si>
  <si>
    <t>daily_ration_kg</t>
  </si>
  <si>
    <t>purchase_price</t>
  </si>
  <si>
    <t>total_sales</t>
  </si>
  <si>
    <t>total_feed_cost</t>
  </si>
  <si>
    <t>net_profit</t>
  </si>
  <si>
    <t>Fattening</t>
  </si>
  <si>
    <t>transaction_date</t>
  </si>
  <si>
    <t>account</t>
  </si>
  <si>
    <t>description</t>
  </si>
  <si>
    <t>batch_target</t>
  </si>
  <si>
    <t>debit</t>
  </si>
  <si>
    <t>credit</t>
  </si>
  <si>
    <t>Cash</t>
  </si>
  <si>
    <t>Opening bank balance / Owner starting capital injection</t>
  </si>
  <si>
    <t>Owner's Capital / Starting Investment</t>
  </si>
  <si>
    <t>Feed Costs</t>
  </si>
  <si>
    <t>تبن سوداني</t>
  </si>
  <si>
    <t>برسيم حجازي</t>
  </si>
  <si>
    <t>غلة</t>
  </si>
  <si>
    <t>Payment for feed consumed by Tag 179</t>
  </si>
  <si>
    <t>Audited Feed Sync: 143.9kg consumed by Tag 171</t>
  </si>
  <si>
    <t>Payment for feed consumed by Tag 171</t>
  </si>
  <si>
    <t>Audited Feed Sync: 143.9kg consumed by Tag 176</t>
  </si>
  <si>
    <t>Payment for feed consumed by Tag 176</t>
  </si>
  <si>
    <t>Audited Feed Sync: 143.9kg consumed by Tag 129</t>
  </si>
  <si>
    <t>Payment for feed consumed by Tag 129</t>
  </si>
  <si>
    <t>Audited Feed Sync: 143.9kg consumed by Tag 170</t>
  </si>
  <si>
    <t>Payment for feed consumed by Tag 170</t>
  </si>
  <si>
    <t>Audited Feed Sync: 143.9kg consumed by Tag 007</t>
  </si>
  <si>
    <t>Payment for feed consumed by Tag 175</t>
  </si>
  <si>
    <t>Audited Feed Sync: 143.9kg consumed by Tag 175</t>
  </si>
  <si>
    <t>Payment for feed consumed by Tag 177</t>
  </si>
  <si>
    <t>Audited Feed Sync: 143.9kg consumed by Tag 177</t>
  </si>
  <si>
    <t>Payment for feed consumed by Tag 197</t>
  </si>
  <si>
    <t>Audited Feed Sync: 143.9kg consumed by Tag 197</t>
  </si>
  <si>
    <t>Payment for feed consumed by Tag 198</t>
  </si>
  <si>
    <t>Audited Feed Sync: 143.9kg consumed by Tag 198</t>
  </si>
  <si>
    <t>Payment for feed consumed by Tag 174</t>
  </si>
  <si>
    <t>Audited Feed Sync: 143.9kg consumed by Tag 174</t>
  </si>
  <si>
    <t>Payment for feed consumed by Tag 007</t>
  </si>
  <si>
    <t>Audited Feed Sync: 143.9kg consumed by Tag 099</t>
  </si>
  <si>
    <t>Payment for feed consumed by Tag 099</t>
  </si>
  <si>
    <t>Audited Feed Sync: 143.9kg consumed by Tag 046</t>
  </si>
  <si>
    <t>Payment for feed consumed by Tag 046</t>
  </si>
  <si>
    <t>Audited Feed Sync: 143.9kg consumed by Tag 091</t>
  </si>
  <si>
    <t>Payment for feed consumed by Tag 091</t>
  </si>
  <si>
    <t>Audited Feed Sync: 143.9kg consumed by Tag 028</t>
  </si>
  <si>
    <t>Payment for feed consumed by Tag 028</t>
  </si>
  <si>
    <t>Audited Feed Sync: 143.9kg consumed by Tag 066</t>
  </si>
  <si>
    <t>Payment for feed consumed by Tag 066</t>
  </si>
  <si>
    <t>Audited Feed Sync: 143.9kg consumed by Tag 059</t>
  </si>
  <si>
    <t>Payment for feed consumed by Tag 059</t>
  </si>
  <si>
    <t>Audited Feed Sync: 143.9kg consumed by Tag 178</t>
  </si>
  <si>
    <t>Payment for feed consumed by Tag 178</t>
  </si>
  <si>
    <t>Audited Feed Sync: 143.9kg consumed by Tag 199</t>
  </si>
  <si>
    <t>Payment for feed consumed by Tag 199</t>
  </si>
  <si>
    <t>Audited Feed Sync: 143.9kg consumed by Tag 025</t>
  </si>
  <si>
    <t>Payment for feed consumed by Tag 025</t>
  </si>
  <si>
    <t>Audited Feed Sync: 143.9kg consumed by Tag 344</t>
  </si>
  <si>
    <t>Payment for feed consumed by Tag 344</t>
  </si>
  <si>
    <t>Audited Feed Sync: 143.9kg consumed by Tag 024</t>
  </si>
  <si>
    <t>Payment for feed consumed by Tag 024</t>
  </si>
  <si>
    <t>Audited Feed Sync: 143.9kg consumed by Tag 169</t>
  </si>
  <si>
    <t>Payment for feed consumed by Tag 169</t>
  </si>
  <si>
    <t>Audited Feed Sync: 143.9kg consumed by Tag 023</t>
  </si>
  <si>
    <t>Payment for feed consumed by Tag 023</t>
  </si>
  <si>
    <t>Audited Feed Sync: 143.9kg consumed by Tag 361</t>
  </si>
  <si>
    <t>Payment for feed consumed by Tag 361</t>
  </si>
  <si>
    <t>Audited Feed Sync: 143.9kg consumed by Tag 114</t>
  </si>
  <si>
    <t>Payment for feed consumed by Tag 114</t>
  </si>
  <si>
    <t>Audited Feed Sync: 143.9kg consumed by Tag 052</t>
  </si>
  <si>
    <t>Payment for feed consumed by Tag 052</t>
  </si>
  <si>
    <t>Audited Feed Sync: 143.9kg consumed by Tag 050</t>
  </si>
  <si>
    <t>Payment for feed consumed by Tag 050</t>
  </si>
  <si>
    <t>Audited Feed Sync: 143.9kg consumed by Tag 049</t>
  </si>
  <si>
    <t>Payment for feed consumed by Tag 049</t>
  </si>
  <si>
    <t>Audited Feed Sync: 143.9kg consumed by Tag 173</t>
  </si>
  <si>
    <t>Payment for feed consumed by Tag 173</t>
  </si>
  <si>
    <t>Audited Feed Sync: 143.9kg consumed by Tag 047</t>
  </si>
  <si>
    <t>Payment for feed consumed by Tag 047</t>
  </si>
  <si>
    <t>Audited Feed Sync: 143.9kg consumed by Tag 364</t>
  </si>
  <si>
    <t>Payment for feed consumed by Tag 364</t>
  </si>
  <si>
    <t>Audited Feed Sync: 143.9kg consumed by Tag 022</t>
  </si>
  <si>
    <t>Payment for feed consumed by Tag 022</t>
  </si>
  <si>
    <t>Audited Feed Sync: 143.9kg consumed by Tag 363</t>
  </si>
  <si>
    <t>Payment for feed consumed by Tag 363</t>
  </si>
  <si>
    <t>Audited Feed Sync: 143.9kg consumed by Tag 172</t>
  </si>
  <si>
    <t>Payment for feed consumed by Tag 172</t>
  </si>
  <si>
    <t>Audited Feed Sync: 143.9kg consumed by Tag 200</t>
  </si>
  <si>
    <t>Payment for feed consumed by Tag 200</t>
  </si>
  <si>
    <t>Audited Feed Sync: 143.9kg consumed by Tag 179</t>
  </si>
  <si>
    <t>ردة</t>
  </si>
  <si>
    <t>ذرة</t>
  </si>
  <si>
    <t>صويا</t>
  </si>
  <si>
    <t>Audited Feed Sync: 105.0kg consumed by Tag 052</t>
  </si>
  <si>
    <t>Audited Feed Sync: 105.0kg consumed by Tag 344</t>
  </si>
  <si>
    <t>Audited Feed Sync: 105.0kg consumed by Tag 025</t>
  </si>
  <si>
    <t>Audited Feed Sync: 105.0kg consumed by Tag 024</t>
  </si>
  <si>
    <t>Audited Feed Sync: 105.0kg consumed by Tag 173</t>
  </si>
  <si>
    <t>Audited Feed Sync: 105.0kg consumed by Tag 114</t>
  </si>
  <si>
    <t>Audited Feed Sync: 105.0kg consumed by Tag 177</t>
  </si>
  <si>
    <t>Audited Feed Sync: 105.0kg consumed by Tag 171</t>
  </si>
  <si>
    <t>Audited Feed Sync: 105.0kg consumed by Tag 361</t>
  </si>
  <si>
    <t>Audited Feed Sync: 105.0kg consumed by Tag 169</t>
  </si>
  <si>
    <t>Audited Feed Sync: 105.0kg consumed by Tag 129</t>
  </si>
  <si>
    <t>Audited Feed Sync: 105.0kg consumed by Tag 179</t>
  </si>
  <si>
    <t>Audited Feed Sync: 105.0kg consumed by Tag 197</t>
  </si>
  <si>
    <t>Audited Feed Sync: 105.0kg consumed by Tag 050</t>
  </si>
  <si>
    <t>Audited Feed Sync: 105.0kg consumed by Tag 022</t>
  </si>
  <si>
    <t>Audited Feed Sync: 105.0kg consumed by Tag 023</t>
  </si>
  <si>
    <t>Audited Feed Sync: 105.0kg consumed by Tag 059</t>
  </si>
  <si>
    <t>Audited Feed Sync: 105.0kg consumed by Tag 066</t>
  </si>
  <si>
    <t>Audited Feed Sync: 105.0kg consumed by Tag 091</t>
  </si>
  <si>
    <t>Audited Feed Sync: 105.0kg consumed by Tag 028</t>
  </si>
  <si>
    <t>Audited Feed Sync: 105.0kg consumed by Tag 198</t>
  </si>
  <si>
    <t>Audited Feed Sync: 105.0kg consumed by Tag 099</t>
  </si>
  <si>
    <t>Audited Feed Sync: 105.0kg consumed by Tag 174</t>
  </si>
  <si>
    <t>Audited Feed Sync: 105.0kg consumed by Tag 364</t>
  </si>
  <si>
    <t>Audited Feed Sync: 105.0kg consumed by Tag 007</t>
  </si>
  <si>
    <t>Audited Feed Sync: 105.0kg consumed by Tag 199</t>
  </si>
  <si>
    <t>Audited Feed Sync: 105.0kg consumed by Tag 170</t>
  </si>
  <si>
    <t>Audited Feed Sync: 105.0kg consumed by Tag 363</t>
  </si>
  <si>
    <t>Audited Feed Sync: 105.0kg consumed by Tag 172</t>
  </si>
  <si>
    <t>Audited Feed Sync: 105.0kg consumed by Tag 175</t>
  </si>
  <si>
    <t>Audited Feed Sync: 105.0kg consumed by Tag 200</t>
  </si>
  <si>
    <t>Audited Feed Sync: 105.0kg consumed by Tag 047</t>
  </si>
  <si>
    <t>Audited Feed Sync: 105.0kg consumed by Tag 049</t>
  </si>
  <si>
    <t>Audited Feed Sync: 105.0kg consumed by Tag 176</t>
  </si>
  <si>
    <t>Auto-Sync: Sale of livestock #199</t>
  </si>
  <si>
    <t>Livestock Sales</t>
  </si>
  <si>
    <t>Auto-Sync: Sale of livestock #171</t>
  </si>
  <si>
    <t>Audited Feed Sync: 59.5kg consumed by Tag 199</t>
  </si>
  <si>
    <t>Audited Feed Sync: 59.5kg consumed by Tag 171</t>
  </si>
  <si>
    <t>Audited Feed Sync: 63.0kg consumed by Tag 091</t>
  </si>
  <si>
    <t>Auto-Sync: Sale of livestock #066</t>
  </si>
  <si>
    <t>Auto-Sync: Sale of livestock #091</t>
  </si>
  <si>
    <t>Audited Feed Sync: 63.0kg consumed by Tag 066</t>
  </si>
  <si>
    <t>Audited Feed Sync: 70.0kg consumed by Tag 169</t>
  </si>
  <si>
    <t>Auto-Sync: Sale of livestock #169</t>
  </si>
  <si>
    <t>Auto-Sync: Sale of livestock #198</t>
  </si>
  <si>
    <t>Auto-Sync: Sale of livestock #175</t>
  </si>
  <si>
    <t>Auto-Sync: Sale of livestock #050</t>
  </si>
  <si>
    <t>Audited Feed Sync: 70.0kg consumed by Tag 175</t>
  </si>
  <si>
    <t>Audited Feed Sync: 70.0kg consumed by Tag 050</t>
  </si>
  <si>
    <t>Audited Feed Sync: 70.0kg consumed by Tag 198</t>
  </si>
  <si>
    <t>Audited Feed Sync: 73.5kg consumed by Tag 174</t>
  </si>
  <si>
    <t>Audited Feed Sync: 73.5kg consumed by Tag 052</t>
  </si>
  <si>
    <t>Auto-Sync: Sale of livestock #174</t>
  </si>
  <si>
    <t>Auto-Sync: Sale of livestock #059</t>
  </si>
  <si>
    <t>Audited Feed Sync: 80.5kg consumed by Tag 114</t>
  </si>
  <si>
    <t>Audited Feed Sync: 80.5kg consumed by Tag 022</t>
  </si>
  <si>
    <t>Audited Feed Sync: 80.5kg consumed by Tag 007</t>
  </si>
  <si>
    <t>Audited Feed Sync: 80.5kg consumed by Tag 023</t>
  </si>
  <si>
    <t>Audited Feed Sync: 80.5kg consumed by Tag 200</t>
  </si>
  <si>
    <t>Audited Feed Sync: 80.5kg consumed by Tag 197</t>
  </si>
  <si>
    <t>Audited Feed Sync: 80.5kg consumed by Tag 172</t>
  </si>
  <si>
    <t>Audited Feed Sync: 80.5kg consumed by Tag 059</t>
  </si>
  <si>
    <t>Audited Feed Sync: 80.5kg consumed by Tag 364</t>
  </si>
  <si>
    <t>Audited Feed Sync: 80.5kg consumed by Tag 344</t>
  </si>
  <si>
    <t>Audited Feed Sync: 80.5kg consumed by Tag 361</t>
  </si>
  <si>
    <t>Audited Feed Sync: 80.5kg consumed by Tag 179</t>
  </si>
  <si>
    <t>Auto-Sync: Sale livestock #028</t>
  </si>
  <si>
    <t>Auto-Sync: Sale of livestock #028</t>
  </si>
  <si>
    <t>Auto-Sync: Sale of livestock #200</t>
  </si>
  <si>
    <t>Auto-Sync: Sale of livestock #099</t>
  </si>
  <si>
    <t>Auto-Sync: Sale of livestock #022</t>
  </si>
  <si>
    <t>Auto-Sync: Sale of livestock #114</t>
  </si>
  <si>
    <t>Auto-Sync: Sale of livestock #129</t>
  </si>
  <si>
    <t>Auto-Sync: Sale of livestock #052</t>
  </si>
  <si>
    <t>Auto-Sync: Sale of livestock #197</t>
  </si>
  <si>
    <t>Auto-Sync: Sale of livestock #101</t>
  </si>
  <si>
    <t>Auto-Sync: Sale of livestock #049</t>
  </si>
  <si>
    <t>Auto-Sync: Sale of livestock #047</t>
  </si>
  <si>
    <t>Auto-Sync: Sale of livestock #025</t>
  </si>
  <si>
    <t>Auto-Sync: Sale of livestock #024</t>
  </si>
  <si>
    <t>Auto-Sync: Sale of livestock #023</t>
  </si>
  <si>
    <t>Auto-Sync: Sale of livestock #007</t>
  </si>
  <si>
    <t>Auto-Sync: Sale of livestock #364</t>
  </si>
  <si>
    <t>Auto-Sync: Sale of livestock #363</t>
  </si>
  <si>
    <t>Auto-Sync: Sale of livestock #361</t>
  </si>
  <si>
    <t>Auto-Sync: Sale of livestock #046</t>
  </si>
  <si>
    <t>Auto-Sync: Sale of livestock #179</t>
  </si>
  <si>
    <t>Auto-Sync: Sale of livestock #173</t>
  </si>
  <si>
    <t>Auto-Sync: Sale of livestock #172</t>
  </si>
  <si>
    <t>Auto-Sync: Sale of livestock #170</t>
  </si>
  <si>
    <t>Sale of livestock 9 sheep from Idris</t>
  </si>
  <si>
    <t>Purchase Batch for Reselling</t>
  </si>
  <si>
    <t>Purchased 10 sheep from Idris</t>
  </si>
  <si>
    <t>Manual feed cost allocation for Tag 101</t>
  </si>
  <si>
    <t>Auto-Sync: Sale of livestock #178</t>
  </si>
  <si>
    <t>Auto-Sync: Sale of livestock #177</t>
  </si>
  <si>
    <t>Auto-Sync: Sale of livestock #176</t>
  </si>
  <si>
    <t>Auto-Sync: Sale livestock #344</t>
  </si>
  <si>
    <t>Auto-Sync: Sales livestock #344</t>
  </si>
  <si>
    <t>Audited Feed Sync: 80.5kg consumed by Tag 028</t>
  </si>
  <si>
    <t>Audited Feed Sync: 80.5kg consumed by Tag 129</t>
  </si>
  <si>
    <t>Audited Feed Sync: 80.5kg consumed by Tag 173</t>
  </si>
  <si>
    <t>Audited Feed Sync: 80.5kg consumed by Tag 363</t>
  </si>
  <si>
    <t>تبن فاصوليا</t>
  </si>
  <si>
    <t>راتب حبيبة عن شهر يوليو2026</t>
  </si>
  <si>
    <t>Labor/Wages</t>
  </si>
  <si>
    <t>راتب اسامة عن شهر يوليو2026</t>
  </si>
  <si>
    <t>Auto-Sync: Sale of livestock #376</t>
  </si>
  <si>
    <t>item_name</t>
  </si>
  <si>
    <t>quantity_change</t>
  </si>
  <si>
    <t>received_date</t>
  </si>
  <si>
    <t>Hay Bean</t>
  </si>
  <si>
    <t>2026-01-05</t>
  </si>
  <si>
    <t>Corrected</t>
  </si>
  <si>
    <t>Barseem Hegazy</t>
  </si>
  <si>
    <t>2026-01-08</t>
  </si>
  <si>
    <t/>
  </si>
  <si>
    <t>2026-01-11</t>
  </si>
  <si>
    <t>2026-01-28</t>
  </si>
  <si>
    <t>2026-02-19</t>
  </si>
  <si>
    <t>2026-03-11</t>
  </si>
  <si>
    <t>2026-03-13</t>
  </si>
  <si>
    <t>2026-03-29</t>
  </si>
  <si>
    <t>Wheat</t>
  </si>
  <si>
    <t>2026-03-31</t>
  </si>
  <si>
    <t>2026-04-08</t>
  </si>
  <si>
    <t>Corn</t>
  </si>
  <si>
    <t>Radda</t>
  </si>
  <si>
    <t>Soyabean</t>
  </si>
  <si>
    <t>2026-04-14</t>
  </si>
  <si>
    <t>2026-04-15</t>
  </si>
  <si>
    <t>2026-04-18</t>
  </si>
  <si>
    <t>2026-04-29</t>
  </si>
  <si>
    <t>2026-05-02</t>
  </si>
  <si>
    <t>2026-05-11</t>
  </si>
  <si>
    <t>2026-05-18</t>
  </si>
  <si>
    <t>2026-05-25</t>
  </si>
  <si>
    <t>2026-06-29</t>
  </si>
  <si>
    <t>2026-07-02</t>
  </si>
  <si>
    <t>2026-07-16</t>
  </si>
  <si>
    <t>2026-07-18</t>
  </si>
  <si>
    <t>2026-07-26</t>
  </si>
  <si>
    <t>Added ans corrected.</t>
  </si>
  <si>
    <t>Added and corrected.</t>
  </si>
  <si>
    <t>2026-07-31</t>
  </si>
  <si>
    <t>Added by Salama</t>
  </si>
  <si>
    <t xml:space="preserve">Hay Bean </t>
  </si>
  <si>
    <t>2026-08-05</t>
  </si>
  <si>
    <t>2026-08-10</t>
  </si>
  <si>
    <t>quantity_kg</t>
  </si>
  <si>
    <t>reorder_level_kg</t>
  </si>
  <si>
    <t>cost_per_kg</t>
  </si>
  <si>
    <t>is_active</t>
  </si>
  <si>
    <t>transfer_date</t>
  </si>
  <si>
    <t>purchase_date</t>
  </si>
  <si>
    <t>sale_price</t>
  </si>
  <si>
    <t>sale_date</t>
  </si>
  <si>
    <t>ledger_synced</t>
  </si>
  <si>
    <t>Sold for $14816.0 on 2026-05-27</t>
  </si>
  <si>
    <t>Sold for $17888.0 on 2026-05-27</t>
  </si>
  <si>
    <t>Sold for $17920.0 on 2026-05-27</t>
  </si>
  <si>
    <t>Sold for $13440.0 on 2026-05-27</t>
  </si>
  <si>
    <t>Sold for $12160.0 on 2026-05-27</t>
  </si>
  <si>
    <t>Sold for $15392.0 on 2026-05-27</t>
  </si>
  <si>
    <t>Sold for $11840.0 on 2026-05-27</t>
  </si>
  <si>
    <t>Sold for $13760.0 on 2026-05-27</t>
  </si>
  <si>
    <t>Sold for $17280.0 on 2026-05-24</t>
  </si>
  <si>
    <t>Sold for $13120.0 on 2026-05-27</t>
  </si>
  <si>
    <t>Sold for $13120.0 on 2026-05-25</t>
  </si>
  <si>
    <t>Sold for $16000.0 on 2026-05-22</t>
  </si>
  <si>
    <t>Sold for $16960.0 on 2026-05-22</t>
  </si>
  <si>
    <t>Sold for $0.0 on 2026-05-27</t>
  </si>
  <si>
    <t>Sold for $16960.0 on 2026-05-27</t>
  </si>
  <si>
    <t>Sold for $16928.0 on 2026-05-27</t>
  </si>
  <si>
    <t>Sold for $18016.0 on 2026-05-27</t>
  </si>
  <si>
    <t>Sold for $16640.0 on 2026-05-24</t>
  </si>
  <si>
    <t>Sold for $15040.0 on 2026-05-27</t>
  </si>
  <si>
    <t>Sold for $16800.0 on 2026-05-21</t>
  </si>
  <si>
    <t>Sold for $14912.0 on 2026-05-27</t>
  </si>
  <si>
    <t>Sold for $16800.0 on 2026-05-27</t>
  </si>
  <si>
    <t>Sold for $16960.0 on 2026-05-25</t>
  </si>
  <si>
    <t>Sold for $15040.0 on 2026-05-24</t>
  </si>
  <si>
    <t>Sold for $0.0 on 2026-07-11</t>
  </si>
  <si>
    <t>Sold for $15360.0 on 2026-05-27</t>
  </si>
  <si>
    <t>Sold for $15680.0 on 2026-05-24</t>
  </si>
  <si>
    <t>Sold for $16896.0 on 2026-05-21</t>
  </si>
  <si>
    <t>Sold for $13632.0 on 2026-05-27</t>
  </si>
  <si>
    <t>Sold for $13952.0 on 2026-05-27</t>
  </si>
  <si>
    <t>Sold for $15680.0 on 2026-05-27</t>
  </si>
  <si>
    <t>Sold for $19520.0 on 2026-05-27</t>
  </si>
  <si>
    <t>tx_id</t>
  </si>
  <si>
    <t>date</t>
  </si>
  <si>
    <t>account_code</t>
  </si>
  <si>
    <t>amount</t>
  </si>
  <si>
    <t>tx_flow</t>
  </si>
  <si>
    <t>batch_id_tag</t>
  </si>
  <si>
    <t>approved</t>
  </si>
  <si>
    <t>DEBIT</t>
  </si>
  <si>
    <t>CREDIT</t>
  </si>
  <si>
    <t>updated_at</t>
  </si>
  <si>
    <t>recipe_type</t>
  </si>
  <si>
    <t>calculated_mix_cost_per_kg</t>
  </si>
  <si>
    <t>recipe_breakdown</t>
  </si>
  <si>
    <t>Wheat:19;Corn:14;Radda:10;Soyabean:5;Barseem Hegazy:20;Hay Bean:32</t>
  </si>
  <si>
    <t>General Herd</t>
  </si>
  <si>
    <t>Wheat:0;Corn:17;Radda:0;Soyabean:0;Barseem Hegazy:46;Hay Bean:37</t>
  </si>
  <si>
    <t>account_name</t>
  </si>
  <si>
    <t>account_type</t>
  </si>
  <si>
    <t>Asset</t>
  </si>
  <si>
    <t>Livestock Biological Assets</t>
  </si>
  <si>
    <t>Equity</t>
  </si>
  <si>
    <t>Revenue</t>
  </si>
  <si>
    <t>Livestock Natural Increase (Births)</t>
  </si>
  <si>
    <t>Expense</t>
  </si>
  <si>
    <t>Vet Services</t>
  </si>
  <si>
    <t>Utilities (Electricity/Water)</t>
  </si>
  <si>
    <t>Rent/Lease</t>
  </si>
  <si>
    <t>Maintenance/Repairs</t>
  </si>
  <si>
    <t>Purchase Batch for Breeding</t>
  </si>
  <si>
    <t>Purchase Batch for Fattening</t>
  </si>
  <si>
    <t>ewe_tag_no</t>
  </si>
  <si>
    <t>lambs_count</t>
  </si>
  <si>
    <t>foster_ewe_tag</t>
  </si>
  <si>
    <t>newborn_tag</t>
  </si>
  <si>
    <t>[Small - Male] Healthy newborn lamb.</t>
  </si>
  <si>
    <t>313</t>
  </si>
  <si>
    <t>348</t>
  </si>
  <si>
    <t>054, 053</t>
  </si>
  <si>
    <t>Healthy</t>
  </si>
  <si>
    <t>360</t>
  </si>
  <si>
    <t>Healthy newborn male</t>
  </si>
  <si>
    <t>056</t>
  </si>
  <si>
    <t>057</t>
  </si>
  <si>
    <t>315</t>
  </si>
  <si>
    <t>356</t>
  </si>
  <si>
    <t>370</t>
  </si>
  <si>
    <t>****</t>
  </si>
  <si>
    <t>Column1</t>
  </si>
  <si>
    <t>Total Cost</t>
  </si>
  <si>
    <t>Sum of quantity_change</t>
  </si>
  <si>
    <t>Grand Total</t>
  </si>
  <si>
    <t>Total</t>
  </si>
  <si>
    <t>Barseem Hegazy Total</t>
  </si>
  <si>
    <t>Corn Total</t>
  </si>
  <si>
    <t>Hay Bean Total</t>
  </si>
  <si>
    <t>Hay Bean  Total</t>
  </si>
  <si>
    <t>Radda Total</t>
  </si>
  <si>
    <t>Soyabean Total</t>
  </si>
  <si>
    <t>Wheat Total</t>
  </si>
  <si>
    <t>Sold for $0.0 on 2026-06-04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</si>
</sst>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14" fontId="0" fillId="0" borderId="0" xfId="0" applyNumberFormat="1"/>
    <xf numFmtId="22" fontId="0" fillId="0" borderId="0" xfId="0" applyNumberFormat="1"/>
    <xf numFmtId="43" fontId="0" fillId="0" borderId="0" xfId="1" applyFont="1"/>
    <xf numFmtId="43" fontId="0" fillId="0" borderId="0" xfId="0" applyNumberFormat="1"/>
    <xf numFmtId="14" fontId="2" fillId="0" borderId="0" xfId="0" applyNumberFormat="1" applyFont="1"/>
    <xf numFmtId="0" fontId="2" fillId="0" borderId="0" xfId="0" applyFont="1"/>
    <xf numFmtId="0" fontId="0" fillId="0" borderId="0" xfId="0" applyNumberFormat="1"/>
    <xf numFmtId="0" fontId="0" fillId="0" borderId="0" xfId="0" pivotButton="1"/>
    <xf numFmtId="43" fontId="1" fillId="0" borderId="0" xfId="0" applyNumberFormat="1" applyFont="1"/>
    <xf numFmtId="43" fontId="0" fillId="0" borderId="0" xfId="0" applyNumberFormat="1" applyFont="1"/>
  </cellXfs>
  <cellStyles count="2">
    <cellStyle name="Comma" xfId="1" builtinId="3"/>
    <cellStyle name="Normal" xfId="0" builtinId="0"/>
  </cellStyles>
  <dxfs count="6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78"/>
        <scheme val="minor"/>
      </font>
      <numFmt numFmtId="35" formatCode="_-* #,##0.00_-;\-* #,##0.00_-;_-* &quot;-&quot;??_-;_-@_-"/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27" formatCode="dd/mm/yyyy\ hh:mm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7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7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7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78"/>
        <scheme val="minor"/>
      </font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35" formatCode="_-* #,##0.00_-;\-* #,##0.00_-;_-* &quot;-&quot;??_-;_-@_-"/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7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78"/>
        <scheme val="minor"/>
      </font>
    </dxf>
    <dxf>
      <numFmt numFmtId="0" formatCode="General"/>
    </dxf>
    <dxf>
      <numFmt numFmtId="35" formatCode="_-* #,##0.00_-;\-* #,##0.00_-;_-* &quot;-&quot;??_-;_-@_-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phouse" refreshedDate="46268.378528356479" createdVersion="8" refreshedVersion="8" minRefreshableVersion="3" recordCount="37" xr:uid="{F1466E5A-AE41-42BE-B28A-528E30493A35}">
  <cacheSource type="worksheet">
    <worksheetSource name="inventory_logs_rows__2"/>
  </cacheSource>
  <cacheFields count="5">
    <cacheField name="id" numFmtId="0">
      <sharedItems containsSemiMixedTypes="0" containsString="0" containsNumber="1" containsInteger="1" minValue="2" maxValue="39"/>
    </cacheField>
    <cacheField name="item_name" numFmtId="0">
      <sharedItems count="7">
        <s v="Hay Bean"/>
        <s v="Barseem Hegazy"/>
        <s v="Wheat"/>
        <s v="Corn"/>
        <s v="Radda"/>
        <s v="Soyabean"/>
        <s v="Hay Bean "/>
      </sharedItems>
    </cacheField>
    <cacheField name="quantity_change" numFmtId="43">
      <sharedItems containsSemiMixedTypes="0" containsString="0" containsNumber="1" minValue="109.29" maxValue="3600"/>
    </cacheField>
    <cacheField name="received_date" numFmtId="0">
      <sharedItems containsDate="1" containsMixedTypes="1" minDate="2026-08-10T00:00:00" maxDate="2026-08-11T00:00:00" count="28">
        <s v="2026-01-05"/>
        <s v="2026-01-08"/>
        <s v="2026-01-11"/>
        <s v="2026-01-28"/>
        <s v="2026-02-19"/>
        <s v="2026-03-11"/>
        <s v="2026-03-13"/>
        <s v="2026-03-29"/>
        <s v="2026-03-31"/>
        <s v="2026-04-08"/>
        <s v="2026-04-14"/>
        <s v="2026-04-15"/>
        <s v="2026-04-18"/>
        <s v="2026-04-29"/>
        <s v="2026-05-02"/>
        <s v="2026-05-11"/>
        <s v="2026-05-18"/>
        <s v="2026-05-25"/>
        <s v="2026-06-29"/>
        <s v="2026-07-02"/>
        <s v="2026-07-16"/>
        <s v="2026-07-18"/>
        <s v="2026-07-26"/>
        <s v="2026-07-31"/>
        <s v="2026-08-05"/>
        <s v="2026-08-10"/>
        <d v="2026-08-10T00:00:00"/>
        <s v="202026-08-10" u="1"/>
      </sharedItems>
    </cacheField>
    <cacheField name="comment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">
  <r>
    <n v="2"/>
    <x v="0"/>
    <n v="2470"/>
    <x v="0"/>
    <s v="Corrected"/>
  </r>
  <r>
    <n v="3"/>
    <x v="1"/>
    <n v="2150"/>
    <x v="1"/>
    <s v=""/>
  </r>
  <r>
    <n v="4"/>
    <x v="0"/>
    <n v="2750"/>
    <x v="2"/>
    <s v=""/>
  </r>
  <r>
    <n v="5"/>
    <x v="1"/>
    <n v="1700"/>
    <x v="2"/>
    <s v="Corrected"/>
  </r>
  <r>
    <n v="6"/>
    <x v="0"/>
    <n v="2635"/>
    <x v="3"/>
    <s v=""/>
  </r>
  <r>
    <n v="7"/>
    <x v="0"/>
    <n v="2340"/>
    <x v="4"/>
    <s v="Corrected"/>
  </r>
  <r>
    <n v="8"/>
    <x v="1"/>
    <n v="1595"/>
    <x v="4"/>
    <s v=""/>
  </r>
  <r>
    <n v="9"/>
    <x v="1"/>
    <n v="2005"/>
    <x v="4"/>
    <s v="Corrected"/>
  </r>
  <r>
    <n v="10"/>
    <x v="1"/>
    <n v="1775"/>
    <x v="5"/>
    <s v=""/>
  </r>
  <r>
    <n v="11"/>
    <x v="0"/>
    <n v="2520"/>
    <x v="6"/>
    <s v=""/>
  </r>
  <r>
    <n v="12"/>
    <x v="1"/>
    <n v="2176"/>
    <x v="7"/>
    <s v=""/>
  </r>
  <r>
    <n v="13"/>
    <x v="2"/>
    <n v="1000"/>
    <x v="7"/>
    <s v=""/>
  </r>
  <r>
    <n v="14"/>
    <x v="0"/>
    <n v="2325"/>
    <x v="8"/>
    <s v=""/>
  </r>
  <r>
    <n v="15"/>
    <x v="0"/>
    <n v="2353"/>
    <x v="8"/>
    <s v="Corrected"/>
  </r>
  <r>
    <n v="16"/>
    <x v="0"/>
    <n v="2750"/>
    <x v="9"/>
    <s v=""/>
  </r>
  <r>
    <n v="17"/>
    <x v="3"/>
    <n v="1520"/>
    <x v="9"/>
    <s v="Corrected"/>
  </r>
  <r>
    <n v="18"/>
    <x v="4"/>
    <n v="580"/>
    <x v="9"/>
    <s v="Corrected"/>
  </r>
  <r>
    <n v="19"/>
    <x v="5"/>
    <n v="109.29"/>
    <x v="9"/>
    <s v="Corrected"/>
  </r>
  <r>
    <n v="20"/>
    <x v="0"/>
    <n v="1945"/>
    <x v="10"/>
    <s v="Corrected"/>
  </r>
  <r>
    <n v="21"/>
    <x v="0"/>
    <n v="2750"/>
    <x v="11"/>
    <s v="Corrected"/>
  </r>
  <r>
    <n v="22"/>
    <x v="1"/>
    <n v="2160"/>
    <x v="12"/>
    <s v="Corrected"/>
  </r>
  <r>
    <n v="24"/>
    <x v="1"/>
    <n v="3600"/>
    <x v="13"/>
    <s v="Corrected"/>
  </r>
  <r>
    <n v="25"/>
    <x v="1"/>
    <n v="2248"/>
    <x v="14"/>
    <s v=""/>
  </r>
  <r>
    <n v="26"/>
    <x v="0"/>
    <n v="2765"/>
    <x v="15"/>
    <s v="Corrected"/>
  </r>
  <r>
    <n v="27"/>
    <x v="3"/>
    <n v="1000"/>
    <x v="16"/>
    <s v=""/>
  </r>
  <r>
    <n v="28"/>
    <x v="1"/>
    <n v="2134"/>
    <x v="17"/>
    <s v=""/>
  </r>
  <r>
    <n v="29"/>
    <x v="1"/>
    <n v="2580"/>
    <x v="18"/>
    <s v=""/>
  </r>
  <r>
    <n v="30"/>
    <x v="0"/>
    <n v="2390"/>
    <x v="19"/>
    <s v="Corrected"/>
  </r>
  <r>
    <n v="31"/>
    <x v="1"/>
    <n v="2137"/>
    <x v="20"/>
    <s v=""/>
  </r>
  <r>
    <n v="32"/>
    <x v="1"/>
    <n v="2240"/>
    <x v="21"/>
    <s v=""/>
  </r>
  <r>
    <n v="33"/>
    <x v="3"/>
    <n v="1000"/>
    <x v="22"/>
    <s v="Corrected"/>
  </r>
  <r>
    <n v="34"/>
    <x v="2"/>
    <n v="600"/>
    <x v="14"/>
    <s v="Added ans corrected."/>
  </r>
  <r>
    <n v="35"/>
    <x v="2"/>
    <n v="581"/>
    <x v="16"/>
    <s v="Added and corrected."/>
  </r>
  <r>
    <n v="36"/>
    <x v="3"/>
    <n v="538"/>
    <x v="23"/>
    <s v="Added by Salama"/>
  </r>
  <r>
    <n v="37"/>
    <x v="6"/>
    <n v="2555"/>
    <x v="24"/>
    <s v="Added by Salama"/>
  </r>
  <r>
    <n v="38"/>
    <x v="1"/>
    <n v="1960"/>
    <x v="25"/>
    <s v="Added by Salama"/>
  </r>
  <r>
    <n v="39"/>
    <x v="1"/>
    <n v="2065"/>
    <x v="26"/>
    <s v="Added by Salam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7DBB6C-54AE-4C0E-B8E1-31A06EFC6533}" name="PivotTable2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C47" firstHeaderRow="2" firstDataRow="2" firstDataCol="2"/>
  <pivotFields count="5">
    <pivotField compact="0" outline="0" showAll="0"/>
    <pivotField axis="axisRow" compact="0" outline="0" showAll="0">
      <items count="8">
        <item x="1"/>
        <item x="3"/>
        <item x="0"/>
        <item x="6"/>
        <item x="4"/>
        <item x="5"/>
        <item x="2"/>
        <item t="default"/>
      </items>
    </pivotField>
    <pivotField dataField="1" compact="0" numFmtId="43" outline="0" showAll="0"/>
    <pivotField axis="axisRow" compact="0" outline="0" showAll="0">
      <items count="29">
        <item m="1" x="2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compact="0" outline="0" showAll="0"/>
  </pivotFields>
  <rowFields count="2">
    <field x="1"/>
    <field x="3"/>
  </rowFields>
  <rowItems count="43">
    <i>
      <x/>
      <x v="2"/>
    </i>
    <i r="1">
      <x v="3"/>
    </i>
    <i r="1">
      <x v="5"/>
    </i>
    <i r="1">
      <x v="6"/>
    </i>
    <i r="1">
      <x v="8"/>
    </i>
    <i r="1">
      <x v="13"/>
    </i>
    <i r="1">
      <x v="14"/>
    </i>
    <i r="1">
      <x v="15"/>
    </i>
    <i r="1">
      <x v="18"/>
    </i>
    <i r="1">
      <x v="19"/>
    </i>
    <i r="1">
      <x v="21"/>
    </i>
    <i r="1">
      <x v="22"/>
    </i>
    <i r="1">
      <x v="26"/>
    </i>
    <i r="1">
      <x v="27"/>
    </i>
    <i t="default">
      <x/>
    </i>
    <i>
      <x v="1"/>
      <x v="10"/>
    </i>
    <i r="1">
      <x v="17"/>
    </i>
    <i r="1">
      <x v="23"/>
    </i>
    <i r="1">
      <x v="24"/>
    </i>
    <i t="default">
      <x v="1"/>
    </i>
    <i>
      <x v="2"/>
      <x v="1"/>
    </i>
    <i r="1">
      <x v="3"/>
    </i>
    <i r="1">
      <x v="4"/>
    </i>
    <i r="1">
      <x v="5"/>
    </i>
    <i r="1">
      <x v="7"/>
    </i>
    <i r="1">
      <x v="9"/>
    </i>
    <i r="1">
      <x v="10"/>
    </i>
    <i r="1">
      <x v="11"/>
    </i>
    <i r="1">
      <x v="12"/>
    </i>
    <i r="1">
      <x v="16"/>
    </i>
    <i r="1">
      <x v="20"/>
    </i>
    <i t="default">
      <x v="2"/>
    </i>
    <i>
      <x v="3"/>
      <x v="25"/>
    </i>
    <i t="default">
      <x v="3"/>
    </i>
    <i>
      <x v="4"/>
      <x v="10"/>
    </i>
    <i t="default">
      <x v="4"/>
    </i>
    <i>
      <x v="5"/>
      <x v="10"/>
    </i>
    <i t="default">
      <x v="5"/>
    </i>
    <i>
      <x v="6"/>
      <x v="8"/>
    </i>
    <i r="1">
      <x v="15"/>
    </i>
    <i r="1">
      <x v="17"/>
    </i>
    <i t="default">
      <x v="6"/>
    </i>
    <i t="grand">
      <x/>
    </i>
  </rowItems>
  <colItems count="1">
    <i/>
  </colItems>
  <dataFields count="1">
    <dataField name="Sum of quantity_change" fld="2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4" connectionId="1" xr16:uid="{CAEC22B8-DBFD-42AA-ABDD-9490071BC037}" autoFormatId="16" applyNumberFormats="0" applyBorderFormats="0" applyFontFormats="0" applyPatternFormats="0" applyAlignmentFormats="0" applyWidthHeightFormats="0">
  <queryTableRefresh nextId="8">
    <queryTableFields count="7">
      <queryTableField id="1" name="id" tableColumnId="1"/>
      <queryTableField id="2" name="ewe_tag_no" tableColumnId="2"/>
      <queryTableField id="3" name="birth_date" tableColumnId="3"/>
      <queryTableField id="4" name="lambs_count" tableColumnId="4"/>
      <queryTableField id="5" name="foster_ewe_tag" tableColumnId="5"/>
      <queryTableField id="6" name="comments" tableColumnId="6"/>
      <queryTableField id="7" name="newborn_tag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" connectionId="2" xr16:uid="{511DD56E-1A1E-4BA7-893A-0703C0EE7C7C}" autoFormatId="16" applyNumberFormats="0" applyBorderFormats="0" applyFontFormats="0" applyPatternFormats="0" applyAlignmentFormats="0" applyWidthHeightFormats="0">
  <queryTableRefresh nextId="4">
    <queryTableFields count="3">
      <queryTableField id="1" name="account_code" tableColumnId="1"/>
      <queryTableField id="2" name="account_name" tableColumnId="2"/>
      <queryTableField id="3" name="account_type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4" xr16:uid="{88C2F266-D8D1-43E4-913E-926DB1156583}" autoFormatId="16" applyNumberFormats="0" applyBorderFormats="0" applyFontFormats="0" applyPatternFormats="0" applyAlignmentFormats="0" applyWidthHeightFormats="0">
  <queryTableRefresh nextId="4">
    <queryTableFields count="3">
      <queryTableField id="1" name="recipe_type" tableColumnId="1"/>
      <queryTableField id="2" name="calculated_mix_cost_per_kg" tableColumnId="2"/>
      <queryTableField id="3" name="recipe_breakdown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5" xr16:uid="{A3D72974-114A-4E9E-AC38-E59A8C5E8679}" autoFormatId="16" applyNumberFormats="0" applyBorderFormats="0" applyFontFormats="0" applyPatternFormats="0" applyAlignmentFormats="0" applyWidthHeightFormats="0">
  <queryTableRefresh nextId="5">
    <queryTableFields count="4">
      <queryTableField id="1" name="id" tableColumnId="1"/>
      <queryTableField id="2" name="daily_ration_kg" tableColumnId="2"/>
      <queryTableField id="3" name="category" tableColumnId="3"/>
      <queryTableField id="4" name="updated_at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6" xr16:uid="{D7AB7F7E-FAB9-400D-9992-04550712EBF5}" autoFormatId="16" applyNumberFormats="0" applyBorderFormats="0" applyFontFormats="0" applyPatternFormats="0" applyAlignmentFormats="0" applyWidthHeightFormats="0">
  <queryTableRefresh nextId="9">
    <queryTableFields count="8">
      <queryTableField id="1" name="tx_id" tableColumnId="1"/>
      <queryTableField id="2" name="date" tableColumnId="2"/>
      <queryTableField id="3" name="account_code" tableColumnId="3"/>
      <queryTableField id="4" name="description" tableColumnId="4"/>
      <queryTableField id="5" name="amount" tableColumnId="5"/>
      <queryTableField id="6" name="tx_flow" tableColumnId="6"/>
      <queryTableField id="7" name="batch_id_tag" tableColumnId="7"/>
      <queryTableField id="8" name="approved" tableColumnId="8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7" xr16:uid="{638E3A41-B4AC-4BD3-A038-418A484937C9}" autoFormatId="16" applyNumberFormats="0" applyBorderFormats="0" applyFontFormats="0" applyPatternFormats="0" applyAlignmentFormats="0" applyWidthHeightFormats="0">
  <queryTableRefresh nextId="13">
    <queryTableFields count="12">
      <queryTableField id="1" name="tag_no" tableColumnId="1"/>
      <queryTableField id="2" name="category" tableColumnId="2"/>
      <queryTableField id="3" name="status" tableColumnId="3"/>
      <queryTableField id="4" name="birth_date" tableColumnId="4"/>
      <queryTableField id="5" name="registration_date" tableColumnId="5"/>
      <queryTableField id="6" name="purchase_price" tableColumnId="6"/>
      <queryTableField id="7" name="comments" tableColumnId="7"/>
      <queryTableField id="8" name="transfer_date" tableColumnId="8"/>
      <queryTableField id="9" name="purchase_date" tableColumnId="9"/>
      <queryTableField id="10" name="sale_price" tableColumnId="10"/>
      <queryTableField id="11" name="sale_date" tableColumnId="11"/>
      <queryTableField id="12" name="ledger_synced" tableColumnId="1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9" xr16:uid="{C2E1A342-193D-4BAF-BA65-1800D4529751}" autoFormatId="16" applyNumberFormats="0" applyBorderFormats="0" applyFontFormats="0" applyPatternFormats="0" applyAlignmentFormats="0" applyWidthHeightFormats="0">
  <queryTableRefresh nextId="7" unboundColumnsRight="1">
    <queryTableFields count="6">
      <queryTableField id="1" name="item_name" tableColumnId="1"/>
      <queryTableField id="2" name="quantity_kg" tableColumnId="2"/>
      <queryTableField id="3" name="reorder_level_kg" tableColumnId="3"/>
      <queryTableField id="4" name="cost_per_kg" tableColumnId="4"/>
      <queryTableField id="5" name="is_active" tableColumnId="5"/>
      <queryTableField id="6" dataBound="0" tableColumnId="6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8" xr16:uid="{A34985BB-7627-4337-9A51-4A5E42A4425C}" autoFormatId="16" applyNumberFormats="0" applyBorderFormats="0" applyFontFormats="0" applyPatternFormats="0" applyAlignmentFormats="0" applyWidthHeightFormats="0">
  <queryTableRefresh nextId="6">
    <queryTableFields count="5">
      <queryTableField id="1" name="id" tableColumnId="1"/>
      <queryTableField id="2" name="item_name" tableColumnId="2"/>
      <queryTableField id="3" name="quantity_change" tableColumnId="3"/>
      <queryTableField id="4" name="received_date" tableColumnId="4"/>
      <queryTableField id="5" name="comments" tableColumnId="5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0" xr16:uid="{3903170A-EB8D-4135-9869-CB70E69F7A42}" autoFormatId="16" applyNumberFormats="0" applyBorderFormats="0" applyFontFormats="0" applyPatternFormats="0" applyAlignmentFormats="0" applyWidthHeightFormats="0">
  <queryTableRefresh nextId="8" unboundColumnsRight="1">
    <queryTableFields count="7">
      <queryTableField id="1" name="transaction_date" tableColumnId="1"/>
      <queryTableField id="2" name="account" tableColumnId="2"/>
      <queryTableField id="3" name="description" tableColumnId="3"/>
      <queryTableField id="4" name="batch_target" tableColumnId="4"/>
      <queryTableField id="5" name="debit" tableColumnId="5"/>
      <queryTableField id="6" name="credit" tableColumnId="6"/>
      <queryTableField id="7" dataBound="0" tableColumnId="7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1" xr16:uid="{981BCE56-708C-4FC7-B32E-ED7791D986A0}" autoFormatId="16" applyNumberFormats="0" applyBorderFormats="0" applyFontFormats="0" applyPatternFormats="0" applyAlignmentFormats="0" applyWidthHeightFormats="0">
  <queryTableRefresh nextId="6">
    <queryTableFields count="5">
      <queryTableField id="1" name="tag_no" tableColumnId="1"/>
      <queryTableField id="2" name="purchase_price" tableColumnId="2"/>
      <queryTableField id="3" name="total_sales" tableColumnId="3"/>
      <queryTableField id="4" name="total_feed_cost" tableColumnId="4"/>
      <queryTableField id="5" name="net_profit" tableColumnId="5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2" xr16:uid="{1EEA1F9C-951B-444C-893A-15CD89964658}" autoFormatId="16" applyNumberFormats="0" applyBorderFormats="0" applyFontFormats="0" applyPatternFormats="0" applyAlignmentFormats="0" applyWidthHeightFormats="0">
  <queryTableRefresh nextId="8">
    <queryTableFields count="7">
      <queryTableField id="1" name="tag_no" tableColumnId="1"/>
      <queryTableField id="2" name="status" tableColumnId="2"/>
      <queryTableField id="3" name="category" tableColumnId="3"/>
      <queryTableField id="4" name="purchase_price" tableColumnId="4"/>
      <queryTableField id="5" name="total_sales" tableColumnId="5"/>
      <queryTableField id="6" name="total_feed_cost" tableColumnId="6"/>
      <queryTableField id="7" name="net_profit" tableColumnId="7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3" xr16:uid="{BF374190-F523-47DC-8174-31FEA59631E0}" autoFormatId="16" applyNumberFormats="0" applyBorderFormats="0" applyFontFormats="0" applyPatternFormats="0" applyAlignmentFormats="0" applyWidthHeightFormats="0">
  <queryTableRefresh nextId="7">
    <queryTableFields count="6">
      <queryTableField id="1" name="tag_no" tableColumnId="1"/>
      <queryTableField id="2" name="status" tableColumnId="2"/>
      <queryTableField id="3" name="category" tableColumnId="3"/>
      <queryTableField id="4" name="registration_date" tableColumnId="4"/>
      <queryTableField id="5" name="birth_date" tableColumnId="5"/>
      <queryTableField id="6" name="daily_ration_kg" tableColumnId="6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4" xr16:uid="{3AA9F9A1-BE6C-409B-B7CE-3C7B036E05D3}" autoFormatId="16" applyNumberFormats="0" applyBorderFormats="0" applyFontFormats="0" applyPatternFormats="0" applyAlignmentFormats="0" applyWidthHeightFormats="0">
  <queryTableRefresh nextId="5">
    <queryTableFields count="4">
      <queryTableField id="1" name="tag_no" tableColumnId="1"/>
      <queryTableField id="2" name="category" tableColumnId="2"/>
      <queryTableField id="3" name="status" tableColumnId="3"/>
      <queryTableField id="4" name="total_maintenance_cost" tableColumnId="4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5" xr16:uid="{2175B1FA-EA70-4B07-AA29-489C30C2E91E}" autoFormatId="16" applyNumberFormats="0" applyBorderFormats="0" applyFontFormats="0" applyPatternFormats="0" applyAlignmentFormats="0" applyWidthHeightFormats="0">
  <queryTableRefresh nextId="10">
    <queryTableFields count="9">
      <queryTableField id="1" name="id" tableColumnId="1"/>
      <queryTableField id="2" name="tag_no" tableColumnId="2"/>
      <queryTableField id="3" name="weight_kg" tableColumnId="3"/>
      <queryTableField id="4" name="feed_consumed_since_last_kg" tableColumnId="4"/>
      <queryTableField id="5" name="weigh_date" tableColumnId="5"/>
      <queryTableField id="6" name="comments" tableColumnId="6"/>
      <queryTableField id="7" name="entry_date" tableColumnId="7"/>
      <queryTableField id="8" name="feed_cost" tableColumnId="8"/>
      <queryTableField id="9" name="bridge_synced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CFB6FD20-6EC9-4E4F-A5C2-8BA8C0C0A33C}" name="birth_records_rows" displayName="birth_records_rows" ref="A1:G10" tableType="queryTable" totalsRowShown="0">
  <autoFilter ref="A1:G10" xr:uid="{CFB6FD20-6EC9-4E4F-A5C2-8BA8C0C0A33C}"/>
  <tableColumns count="7">
    <tableColumn id="1" xr3:uid="{E48FE586-24D1-4C06-B762-FB78E1632BCD}" uniqueName="1" name="id" queryTableFieldId="1"/>
    <tableColumn id="2" xr3:uid="{3B761A16-95DB-4D51-9012-7FE606330DB5}" uniqueName="2" name="ewe_tag_no" queryTableFieldId="2"/>
    <tableColumn id="3" xr3:uid="{FF21F6C6-797F-490F-A79B-1F17A657DB2F}" uniqueName="3" name="birth_date" queryTableFieldId="3" dataDxfId="31"/>
    <tableColumn id="4" xr3:uid="{EE03BFFF-CCA8-4F5D-9B7B-475A4A98C380}" uniqueName="4" name="lambs_count" queryTableFieldId="4"/>
    <tableColumn id="5" xr3:uid="{4A213025-21DD-4BEF-8A65-44D8652608E9}" uniqueName="5" name="foster_ewe_tag" queryTableFieldId="5" dataDxfId="59"/>
    <tableColumn id="6" xr3:uid="{66EA2F1B-2FBD-452E-9E94-DBC0FC7C8CDB}" uniqueName="6" name="comments" queryTableFieldId="6" dataDxfId="58"/>
    <tableColumn id="7" xr3:uid="{4BE70EC3-DA0A-4A59-AB26-195CE46167ED}" uniqueName="7" name="newborn_tag" queryTableFieldId="7" dataDxfId="5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331A678-6164-40C6-81E8-B0FACEB27EF6}" name="chart_of_accounts_rows__1" displayName="chart_of_accounts_rows__1" ref="A1:C15" tableType="queryTable" totalsRowShown="0">
  <autoFilter ref="A1:C15" xr:uid="{B331A678-6164-40C6-81E8-B0FACEB27EF6}"/>
  <tableColumns count="3">
    <tableColumn id="1" xr3:uid="{4FA838B6-ABF2-4755-9228-8C5A36AE94D0}" uniqueName="1" name="account_code" queryTableFieldId="1"/>
    <tableColumn id="2" xr3:uid="{71A3F37F-7700-41B1-A3A7-94E05525D8AB}" uniqueName="2" name="account_name" queryTableFieldId="2" dataDxfId="56"/>
    <tableColumn id="3" xr3:uid="{B41CB811-3044-4907-B1ED-C0875C4AD8B6}" uniqueName="3" name="account_type" queryTableFieldId="3" dataDxfId="5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7B9B823D-10BD-4636-9A29-A668838C77F9}" name="feed_recipes_rows" displayName="feed_recipes_rows" ref="A1:C3" tableType="queryTable" totalsRowShown="0">
  <autoFilter ref="A1:C3" xr:uid="{7B9B823D-10BD-4636-9A29-A668838C77F9}"/>
  <tableColumns count="3">
    <tableColumn id="1" xr3:uid="{F1BD5C47-6427-4693-A300-3B145D23D8DE}" uniqueName="1" name="recipe_type" queryTableFieldId="1" dataDxfId="54"/>
    <tableColumn id="2" xr3:uid="{FEB7C427-88BD-4DAA-8F1B-35165746B3D8}" uniqueName="2" name="calculated_mix_cost_per_kg" queryTableFieldId="2"/>
    <tableColumn id="3" xr3:uid="{5D8E74B6-B605-44AF-A0C0-D9D38B87633B}" uniqueName="3" name="recipe_breakdown" queryTableFieldId="3" dataDxfId="5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3F976D8-4075-4DD0-A3D0-676EDA9FEFF0}" name="feeding_standards_rows" displayName="feeding_standards_rows" ref="A1:D9" tableType="queryTable" totalsRowShown="0">
  <autoFilter ref="A1:D9" xr:uid="{03F976D8-4075-4DD0-A3D0-676EDA9FEFF0}"/>
  <tableColumns count="4">
    <tableColumn id="1" xr3:uid="{8D713697-CFF0-4768-8801-64D473C14738}" uniqueName="1" name="id" queryTableFieldId="1"/>
    <tableColumn id="2" xr3:uid="{507E2703-372A-47EB-BC92-5B02D0EB0E4D}" uniqueName="2" name="daily_ration_kg" queryTableFieldId="2"/>
    <tableColumn id="3" xr3:uid="{B3A23E98-E4BF-4C18-8C0E-B39BAF6FF4B9}" uniqueName="3" name="category" queryTableFieldId="3" dataDxfId="52"/>
    <tableColumn id="4" xr3:uid="{F51AE678-7BBB-402E-8969-8C977DCD422B}" uniqueName="4" name="updated_at" queryTableFieldId="4" dataDxfId="1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8FDF776-5925-4223-A3FC-B7CE3275B781}" name="financial_transactions_rows__4" displayName="financial_transactions_rows__4" ref="A1:H357" tableType="queryTable" totalsRowShown="0">
  <autoFilter ref="A1:H357" xr:uid="{B8FDF776-5925-4223-A3FC-B7CE3275B781}"/>
  <tableColumns count="8">
    <tableColumn id="1" xr3:uid="{DE6D2AA1-944A-4D34-98E9-4E605A90DB38}" uniqueName="1" name="tx_id" queryTableFieldId="1"/>
    <tableColumn id="2" xr3:uid="{D9FCCD85-BD5D-408F-A746-E420F56BF640}" uniqueName="2" name="date" queryTableFieldId="2" dataDxfId="12"/>
    <tableColumn id="3" xr3:uid="{843ED37B-BE89-43A1-A899-07D8AB26609C}" uniqueName="3" name="account_code" queryTableFieldId="3"/>
    <tableColumn id="4" xr3:uid="{12B35DF2-8168-4DD2-B9CE-719B3E93C006}" uniqueName="4" name="description" queryTableFieldId="4" dataDxfId="51"/>
    <tableColumn id="5" xr3:uid="{013B7EF2-1F4D-404B-8090-347289EE6A82}" uniqueName="5" name="amount" queryTableFieldId="5"/>
    <tableColumn id="6" xr3:uid="{20DC4214-4EC4-46EF-9A7C-8FD3083333A0}" uniqueName="6" name="tx_flow" queryTableFieldId="6" dataDxfId="50"/>
    <tableColumn id="7" xr3:uid="{F581F19A-7F02-4495-848B-11DDCCA24105}" uniqueName="7" name="batch_id_tag" queryTableFieldId="7"/>
    <tableColumn id="8" xr3:uid="{6132EC25-D7E2-494B-8205-4FBBE9FAC441}" uniqueName="8" name="approved" queryTableFieldId="8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58F109E-BD7A-47DD-A0C2-5410D1162965}" name="herd_rows" displayName="herd_rows" ref="A1:L201" tableType="queryTable" totalsRowCount="1">
  <autoFilter ref="A1:L200" xr:uid="{058F109E-BD7A-47DD-A0C2-5410D1162965}">
    <filterColumn colId="11">
      <filters>
        <filter val="TRUE"/>
      </filters>
    </filterColumn>
  </autoFilter>
  <tableColumns count="12">
    <tableColumn id="1" xr3:uid="{1026DC0B-4704-4313-BC9A-7B9FC6FBDD95}" uniqueName="1" name="tag_no" totalsRowFunction="count" queryTableFieldId="1"/>
    <tableColumn id="2" xr3:uid="{11C94AFD-3F76-4404-AB15-CEE056E5B3C8}" uniqueName="2" name="category" queryTableFieldId="2" dataDxfId="49" totalsRowDxfId="4"/>
    <tableColumn id="3" xr3:uid="{D15E4152-64E3-4434-90F8-B6E1C4DA0FF7}" uniqueName="3" name="status" queryTableFieldId="3" dataDxfId="48" totalsRowDxfId="5"/>
    <tableColumn id="4" xr3:uid="{EC19DCF9-F17A-428B-8D34-66CE33BD2EEB}" uniqueName="4" name="birth_date" queryTableFieldId="4" dataDxfId="3" totalsRowDxfId="6"/>
    <tableColumn id="5" xr3:uid="{3A597542-85E9-4C6F-B63D-700876ED6062}" uniqueName="5" name="registration_date" queryTableFieldId="5" dataDxfId="2" totalsRowDxfId="7"/>
    <tableColumn id="6" xr3:uid="{0D7B18CB-DF06-468A-B47D-7EC3EA6E0504}" uniqueName="6" name="purchase_price" queryTableFieldId="6"/>
    <tableColumn id="7" xr3:uid="{21578469-4E5D-48D0-B8FF-90CAD7EB9BED}" uniqueName="7" name="comments" queryTableFieldId="7" dataDxfId="47" totalsRowDxfId="8"/>
    <tableColumn id="8" xr3:uid="{2BB00BEB-F909-4A26-88C3-5573527A591E}" uniqueName="8" name="transfer_date" queryTableFieldId="8" dataDxfId="46" totalsRowDxfId="9"/>
    <tableColumn id="9" xr3:uid="{7FF0FA8B-0862-47E1-9FBC-9EF3D63ECDA4}" uniqueName="9" name="purchase_date" queryTableFieldId="9" dataDxfId="45" totalsRowDxfId="10"/>
    <tableColumn id="10" xr3:uid="{BEAEBE6B-D96A-4A8A-A79A-B5CB95DEBA56}" uniqueName="10" name="sale_price" queryTableFieldId="10"/>
    <tableColumn id="11" xr3:uid="{7021BA15-E60A-4110-9D01-8479FDF186A6}" uniqueName="11" name="sale_date" queryTableFieldId="11" dataDxfId="1" totalsRowDxfId="11"/>
    <tableColumn id="12" xr3:uid="{EEF26B11-10C1-4C79-AA8A-F41773E81E5F}" uniqueName="12" name="ledger_synced" totalsRowFunction="count" queryTableFieldId="12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74226E1-9719-4315-9C5E-95740B2E5C6F}" name="inventory_rows__1" displayName="inventory_rows__1" ref="A1:F8" tableType="queryTable" totalsRowCount="1">
  <autoFilter ref="A1:F7" xr:uid="{474226E1-9719-4315-9C5E-95740B2E5C6F}"/>
  <tableColumns count="6">
    <tableColumn id="1" xr3:uid="{ABEC1D30-6BB9-4F7C-BEFF-DD1E2855C20D}" uniqueName="1" name="item_name" queryTableFieldId="1" dataDxfId="44" totalsRowDxfId="29"/>
    <tableColumn id="2" xr3:uid="{8758513E-D2D9-4481-A8D7-340ABE61AC54}" uniqueName="2" name="quantity_kg" totalsRowFunction="sum" queryTableFieldId="2"/>
    <tableColumn id="3" xr3:uid="{2EE6F6D8-C21A-4422-8624-871DFE64FBE0}" uniqueName="3" name="reorder_level_kg" queryTableFieldId="3"/>
    <tableColumn id="4" xr3:uid="{AC4662C7-7C4D-42AF-B9C9-9162EAC5D8A2}" uniqueName="4" name="cost_per_kg" queryTableFieldId="4"/>
    <tableColumn id="5" xr3:uid="{18A54D8D-BD0C-428F-8BDA-0AA682CDAE58}" uniqueName="5" name="is_active" queryTableFieldId="5"/>
    <tableColumn id="6" xr3:uid="{46127A39-778F-44AE-B180-423342D25F5F}" uniqueName="6" name="Total Cost" totalsRowFunction="sum" queryTableFieldId="6" dataDxfId="28" totalsRowDxfId="30" dataCellStyle="Comma">
      <calculatedColumnFormula>inventory_rows__1[[#This Row],[cost_per_kg]]*inventory_rows__1[[#This Row],[quantity_kg]]</calculatedColumnFormula>
    </tableColumn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CD02782-BC14-401E-BC94-9CDB1233B589}" name="inventory_logs_rows__2" displayName="inventory_logs_rows__2" ref="A1:E39" tableType="queryTable" totalsRowCount="1">
  <autoFilter ref="A1:E38" xr:uid="{5CD02782-BC14-401E-BC94-9CDB1233B589}"/>
  <tableColumns count="5">
    <tableColumn id="1" xr3:uid="{FB22401B-82B7-4060-B608-66D0D444E229}" uniqueName="1" name="id" queryTableFieldId="1"/>
    <tableColumn id="2" xr3:uid="{595CD360-247D-41E0-BEB6-44F8CF25BB1E}" uniqueName="2" name="item_name" queryTableFieldId="2" dataDxfId="43"/>
    <tableColumn id="3" xr3:uid="{67E4AB35-716C-4868-B413-754F9FFDDB94}" uniqueName="3" name="quantity_change" totalsRowFunction="sum" queryTableFieldId="3" dataDxfId="27" totalsRowDxfId="0" dataCellStyle="Comma"/>
    <tableColumn id="4" xr3:uid="{D53B29CB-01AD-4FBC-ACC5-FBA8BBEAC0C3}" uniqueName="4" name="received_date" queryTableFieldId="4" dataDxfId="42"/>
    <tableColumn id="5" xr3:uid="{FBE1D45D-9508-4A9E-B116-3A6628D1E918}" uniqueName="5" name="comments" queryTableFieldId="5" dataDxfId="41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17C31A0-11B5-4C0C-9B82-0DAA8234B68A}" name="printable_financial_ledger_rows__2" displayName="printable_financial_ledger_rows__2" ref="A1:G358" tableType="queryTable" totalsRowCount="1">
  <autoFilter ref="A1:G357" xr:uid="{E17C31A0-11B5-4C0C-9B82-0DAA8234B68A}">
    <filterColumn colId="1">
      <filters>
        <filter val="Cash"/>
      </filters>
    </filterColumn>
  </autoFilter>
  <tableColumns count="7">
    <tableColumn id="1" xr3:uid="{A200B26E-5FEE-4C73-97FB-5DD839A246FB}" uniqueName="1" name="transaction_date" queryTableFieldId="1" dataDxfId="22" totalsRowDxfId="23"/>
    <tableColumn id="2" xr3:uid="{0B72E073-3EF6-4F1C-8233-E0347A5E5D87}" uniqueName="2" name="account" queryTableFieldId="2" dataDxfId="40" totalsRowDxfId="24"/>
    <tableColumn id="3" xr3:uid="{CF07FF38-FF1C-412B-986F-8670EEC15465}" uniqueName="3" name="description" queryTableFieldId="3" dataDxfId="39"/>
    <tableColumn id="4" xr3:uid="{27AA9A01-ED93-4F4C-B683-F31385E6CAF7}" uniqueName="4" name="batch_target" queryTableFieldId="4"/>
    <tableColumn id="5" xr3:uid="{7D4F8A11-5132-469F-9378-5BBCDF5DC3C4}" uniqueName="5" name="debit" totalsRowFunction="sum" queryTableFieldId="5" totalsRowDxfId="25"/>
    <tableColumn id="6" xr3:uid="{DF75013F-64D4-460D-A28B-A83DA2FFE2E3}" uniqueName="6" name="credit" totalsRowFunction="sum" queryTableFieldId="6" totalsRowDxfId="26"/>
    <tableColumn id="7" xr3:uid="{236493CA-E1B3-4C2E-ACCE-10FC47F26769}" uniqueName="7" name="Column1" queryTableFieldId="7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9E10366-328B-45C8-B1E5-6DD94BBECD6F}" name="view_batch_profitability_rows" displayName="view_batch_profitability_rows" ref="A1:E201" tableType="queryTable" totalsRowCount="1">
  <autoFilter ref="A1:E200" xr:uid="{09E10366-328B-45C8-B1E5-6DD94BBECD6F}">
    <filterColumn colId="4">
      <filters>
        <filter val="10099.08"/>
        <filter val="1568.62"/>
        <filter val="1661.09"/>
        <filter val="1663.35"/>
        <filter val="1672.03"/>
        <filter val="1992.03"/>
        <filter val="2080.62"/>
        <filter val="2400.62"/>
        <filter val="2739.08"/>
        <filter val="2952.03"/>
        <filter val="3264.62"/>
        <filter val="3272.03"/>
        <filter val="3337"/>
        <filter val="3360.62"/>
        <filter val="3488.62"/>
        <filter val="3627.33"/>
        <filter val="3808.62"/>
        <filter val="3840.62"/>
        <filter val="4128.62"/>
        <filter val="4232.03"/>
        <filter val="4267.33"/>
        <filter val="4552.03"/>
        <filter val="4679.8"/>
        <filter val="5227.33"/>
        <filter val="5248.62"/>
        <filter val="5376.62"/>
        <filter val="5501.09"/>
        <filter val="5526.03"/>
        <filter val="5622.03"/>
        <filter val="5639.8"/>
        <filter val="5867.33"/>
        <filter val="6336.62"/>
        <filter val="6368.62"/>
        <filter val="6464.62"/>
        <filter val="6472.03"/>
        <filter val="7968.62"/>
      </filters>
    </filterColumn>
  </autoFilter>
  <tableColumns count="5">
    <tableColumn id="1" xr3:uid="{E8730914-68F6-49D5-9775-9AFDF8680777}" uniqueName="1" name="tag_no" queryTableFieldId="1"/>
    <tableColumn id="2" xr3:uid="{CA1A9290-8597-4D62-B9AE-76FCDB8BB56B}" uniqueName="2" name="purchase_price" queryTableFieldId="2"/>
    <tableColumn id="3" xr3:uid="{3FBDC739-C7A2-468A-BC1C-63096770D5A4}" uniqueName="3" name="total_sales" totalsRowFunction="sum" queryTableFieldId="3"/>
    <tableColumn id="4" xr3:uid="{050250FF-3B0C-4B17-9D05-CC58826458FB}" uniqueName="4" name="total_feed_cost" totalsRowFunction="sum" queryTableFieldId="4"/>
    <tableColumn id="5" xr3:uid="{6F8E2A04-6478-4F78-B8A7-F75DE015837A}" uniqueName="5" name="net_profit" totalsRowFunction="sum" queryTableFieldId="5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DBFF4A9-1671-4547-B2A7-343511713636}" name="view_fattening_performance_rows" displayName="view_fattening_performance_rows" ref="A1:G53" tableType="queryTable" totalsRowCount="1">
  <autoFilter ref="A1:G52" xr:uid="{7DBFF4A9-1671-4547-B2A7-343511713636}"/>
  <tableColumns count="7">
    <tableColumn id="1" xr3:uid="{23FB342A-5A12-4B7F-95A0-427463EBB7E0}" uniqueName="1" name="tag_no" queryTableFieldId="1"/>
    <tableColumn id="2" xr3:uid="{4E333527-68D0-4BBD-AA0E-EDFA4D3BF21E}" uniqueName="2" name="status" queryTableFieldId="2" dataDxfId="38"/>
    <tableColumn id="3" xr3:uid="{C7180BAF-F92D-4008-BD96-4434B5D8BF9A}" uniqueName="3" name="category" queryTableFieldId="3" dataDxfId="37"/>
    <tableColumn id="4" xr3:uid="{DAAB7D5A-0FCD-4249-A76E-741D34AF272C}" uniqueName="4" name="purchase_price" totalsRowFunction="sum" queryTableFieldId="4" totalsRowDxfId="18" totalsRowCellStyle="Comma"/>
    <tableColumn id="5" xr3:uid="{04739218-7652-4DEE-AC75-68A827331BE8}" uniqueName="5" name="total_sales" totalsRowFunction="sum" queryTableFieldId="5" totalsRowDxfId="19" totalsRowCellStyle="Comma"/>
    <tableColumn id="6" xr3:uid="{B7363A31-36D7-4C3A-853C-1C7449B1075D}" uniqueName="6" name="total_feed_cost" totalsRowFunction="sum" queryTableFieldId="6" totalsRowDxfId="20" totalsRowCellStyle="Comma"/>
    <tableColumn id="7" xr3:uid="{1EF7841E-F8C0-4F9F-8BC4-C6025EB031C3}" uniqueName="7" name="net_profit" totalsRowFunction="sum" queryTableFieldId="7" totalsRowDxfId="21" totalsRowCellStyle="Comma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B70B5EF-CC99-4386-9274-FA85D23E1A64}" name="view_general_herd_rows" displayName="view_general_herd_rows" ref="A1:F149" tableType="queryTable" totalsRowShown="0">
  <autoFilter ref="A1:F149" xr:uid="{EB70B5EF-CC99-4386-9274-FA85D23E1A64}"/>
  <tableColumns count="6">
    <tableColumn id="1" xr3:uid="{C110DC03-3EED-4083-B1F5-2992F0D9FD57}" uniqueName="1" name="tag_no" queryTableFieldId="1"/>
    <tableColumn id="2" xr3:uid="{B445D153-0B9E-4A55-9A4B-DCD53F5548BC}" uniqueName="2" name="status" queryTableFieldId="2" dataDxfId="36"/>
    <tableColumn id="3" xr3:uid="{D33EF89D-A92A-4E7E-B704-9AA99ED197F3}" uniqueName="3" name="category" queryTableFieldId="3" dataDxfId="35"/>
    <tableColumn id="4" xr3:uid="{BF44D9BD-2106-4FFB-9FB3-8171A71D9023}" uniqueName="4" name="registration_date" queryTableFieldId="4" dataDxfId="17"/>
    <tableColumn id="5" xr3:uid="{9A240E71-EBA6-43BC-A86A-5DE718E6ADAC}" uniqueName="5" name="birth_date" queryTableFieldId="5" dataDxfId="16"/>
    <tableColumn id="6" xr3:uid="{207D9C52-7B81-4764-8881-52924CA96CE2}" uniqueName="6" name="daily_ration_kg" queryTableFieldId="6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4C77843-8E9C-496B-93FF-D03019ACBA3F}" name="view_herd_maintenance_cost_rows" displayName="view_herd_maintenance_cost_rows" ref="A1:D157" tableType="queryTable" totalsRowShown="0">
  <autoFilter ref="A1:D157" xr:uid="{94C77843-8E9C-496B-93FF-D03019ACBA3F}">
    <filterColumn colId="0">
      <filters>
        <filter val="155"/>
      </filters>
    </filterColumn>
  </autoFilter>
  <tableColumns count="4">
    <tableColumn id="1" xr3:uid="{6FA37FF6-5755-4F39-B52B-BEDBCE07AA27}" uniqueName="1" name="tag_no" queryTableFieldId="1"/>
    <tableColumn id="2" xr3:uid="{B3604241-98E8-4407-B5BC-6D1361E9469F}" uniqueName="2" name="category" queryTableFieldId="2" dataDxfId="34"/>
    <tableColumn id="3" xr3:uid="{F80A10BE-80FA-47CA-8FAA-FD0B6F3E0B96}" uniqueName="3" name="status" queryTableFieldId="3" dataDxfId="33"/>
    <tableColumn id="4" xr3:uid="{600BBB5A-D2BC-4EBB-BE77-9FD24AEC5371}" uniqueName="4" name="total_maintenance_cost" queryTableFieldId="4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2F977F-7427-4037-AD97-3026DE5773DB}" name="weight_logs_rows" displayName="weight_logs_rows" ref="A1:I133" tableType="queryTable" totalsRowShown="0">
  <autoFilter ref="A1:I133" xr:uid="{A62F977F-7427-4037-AD97-3026DE5773DB}"/>
  <tableColumns count="9">
    <tableColumn id="1" xr3:uid="{216B867A-AC71-4279-82C7-249C3E29FCD6}" uniqueName="1" name="id" queryTableFieldId="1"/>
    <tableColumn id="2" xr3:uid="{B0F49321-08D1-4600-BF16-F0885C1AA844}" uniqueName="2" name="tag_no" queryTableFieldId="2"/>
    <tableColumn id="3" xr3:uid="{37FE47CD-5E9B-43BE-A1F6-8A4E65333B3F}" uniqueName="3" name="weight_kg" queryTableFieldId="3"/>
    <tableColumn id="4" xr3:uid="{BEFA6E40-D335-4B69-A510-86823D1CBFA5}" uniqueName="4" name="feed_consumed_since_last_kg" queryTableFieldId="4"/>
    <tableColumn id="5" xr3:uid="{2FBC02D3-91EB-47CE-B6DD-2FC5FFE1B2C1}" uniqueName="5" name="weigh_date" queryTableFieldId="5" dataDxfId="15"/>
    <tableColumn id="6" xr3:uid="{D506702B-2EC0-4E5F-9F28-31A34A64B733}" uniqueName="6" name="comments" queryTableFieldId="6" dataDxfId="32"/>
    <tableColumn id="7" xr3:uid="{F5D29FFE-DD1D-496F-94DA-3A39959EB66E}" uniqueName="7" name="entry_date" queryTableFieldId="7" dataDxfId="14"/>
    <tableColumn id="8" xr3:uid="{17D3CCE2-80EC-44E8-A23E-AAD2B8C8ADDE}" uniqueName="8" name="feed_cost" queryTableFieldId="8"/>
    <tableColumn id="9" xr3:uid="{760B0FD6-E08E-4F0F-98B7-C4039E4C12F4}" uniqueName="9" name="bridge_synced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8DA4E-1B66-4B21-8F7C-AC64A19908E3}">
  <dimension ref="A1:G10"/>
  <sheetViews>
    <sheetView workbookViewId="0"/>
  </sheetViews>
  <sheetFormatPr defaultRowHeight="14.4" x14ac:dyDescent="0.3"/>
  <cols>
    <col min="1" max="1" width="4.77734375" bestFit="1" customWidth="1"/>
    <col min="2" max="2" width="13.5546875" bestFit="1" customWidth="1"/>
    <col min="3" max="3" width="12" bestFit="1" customWidth="1"/>
    <col min="4" max="4" width="14.109375" bestFit="1" customWidth="1"/>
    <col min="5" max="5" width="16.33203125" bestFit="1" customWidth="1"/>
    <col min="6" max="6" width="32.21875" bestFit="1" customWidth="1"/>
    <col min="7" max="7" width="14.44140625" bestFit="1" customWidth="1"/>
  </cols>
  <sheetData>
    <row r="1" spans="1:7" x14ac:dyDescent="0.3">
      <c r="A1" t="s">
        <v>0</v>
      </c>
      <c r="B1" t="s">
        <v>346</v>
      </c>
      <c r="C1" t="s">
        <v>30</v>
      </c>
      <c r="D1" t="s">
        <v>347</v>
      </c>
      <c r="E1" t="s">
        <v>348</v>
      </c>
      <c r="F1" t="s">
        <v>5</v>
      </c>
      <c r="G1" t="s">
        <v>349</v>
      </c>
    </row>
    <row r="2" spans="1:7" x14ac:dyDescent="0.3">
      <c r="A2">
        <v>4</v>
      </c>
      <c r="B2">
        <v>107</v>
      </c>
      <c r="C2" s="1">
        <v>46124</v>
      </c>
      <c r="D2">
        <v>1</v>
      </c>
      <c r="E2" t="s">
        <v>242</v>
      </c>
      <c r="F2" t="s">
        <v>350</v>
      </c>
      <c r="G2" t="s">
        <v>351</v>
      </c>
    </row>
    <row r="3" spans="1:7" x14ac:dyDescent="0.3">
      <c r="A3">
        <v>6</v>
      </c>
      <c r="B3">
        <v>317</v>
      </c>
      <c r="C3" s="1">
        <v>46136</v>
      </c>
      <c r="D3">
        <v>1</v>
      </c>
      <c r="E3" t="s">
        <v>242</v>
      </c>
      <c r="F3" t="s">
        <v>350</v>
      </c>
      <c r="G3" t="s">
        <v>352</v>
      </c>
    </row>
    <row r="4" spans="1:7" x14ac:dyDescent="0.3">
      <c r="A4">
        <v>7</v>
      </c>
      <c r="B4">
        <v>312</v>
      </c>
      <c r="C4" s="1">
        <v>46137</v>
      </c>
      <c r="D4">
        <v>2</v>
      </c>
      <c r="E4" t="s">
        <v>242</v>
      </c>
      <c r="F4" t="s">
        <v>242</v>
      </c>
      <c r="G4" t="s">
        <v>353</v>
      </c>
    </row>
    <row r="5" spans="1:7" x14ac:dyDescent="0.3">
      <c r="A5">
        <v>8</v>
      </c>
      <c r="B5">
        <v>319</v>
      </c>
      <c r="C5" s="1">
        <v>46154</v>
      </c>
      <c r="D5">
        <v>1</v>
      </c>
      <c r="E5" t="s">
        <v>242</v>
      </c>
      <c r="F5" t="s">
        <v>354</v>
      </c>
      <c r="G5" t="s">
        <v>355</v>
      </c>
    </row>
    <row r="6" spans="1:7" x14ac:dyDescent="0.3">
      <c r="A6">
        <v>9</v>
      </c>
      <c r="B6">
        <v>3</v>
      </c>
      <c r="C6" s="1">
        <v>46176</v>
      </c>
      <c r="D6">
        <v>1</v>
      </c>
      <c r="E6" t="s">
        <v>242</v>
      </c>
      <c r="F6" t="s">
        <v>356</v>
      </c>
      <c r="G6" t="s">
        <v>357</v>
      </c>
    </row>
    <row r="7" spans="1:7" x14ac:dyDescent="0.3">
      <c r="A7">
        <v>10</v>
      </c>
      <c r="B7">
        <v>2</v>
      </c>
      <c r="C7" s="1">
        <v>46176</v>
      </c>
      <c r="D7">
        <v>1</v>
      </c>
      <c r="E7" t="s">
        <v>242</v>
      </c>
      <c r="F7" t="s">
        <v>242</v>
      </c>
      <c r="G7" t="s">
        <v>358</v>
      </c>
    </row>
    <row r="8" spans="1:7" x14ac:dyDescent="0.3">
      <c r="A8">
        <v>11</v>
      </c>
      <c r="B8">
        <v>152</v>
      </c>
      <c r="C8" s="1">
        <v>46208</v>
      </c>
      <c r="D8">
        <v>1</v>
      </c>
      <c r="E8" t="s">
        <v>242</v>
      </c>
      <c r="F8" t="s">
        <v>242</v>
      </c>
      <c r="G8" t="s">
        <v>359</v>
      </c>
    </row>
    <row r="9" spans="1:7" x14ac:dyDescent="0.3">
      <c r="A9">
        <v>12</v>
      </c>
      <c r="B9">
        <v>74</v>
      </c>
      <c r="C9" s="1">
        <v>46208</v>
      </c>
      <c r="D9">
        <v>1</v>
      </c>
      <c r="E9" t="s">
        <v>242</v>
      </c>
      <c r="F9" t="s">
        <v>242</v>
      </c>
      <c r="G9" t="s">
        <v>360</v>
      </c>
    </row>
    <row r="10" spans="1:7" x14ac:dyDescent="0.3">
      <c r="A10">
        <v>13</v>
      </c>
      <c r="B10">
        <v>121</v>
      </c>
      <c r="C10" s="1">
        <v>46228</v>
      </c>
      <c r="D10">
        <v>1</v>
      </c>
      <c r="E10" t="s">
        <v>242</v>
      </c>
      <c r="F10" t="s">
        <v>242</v>
      </c>
      <c r="G10" t="s">
        <v>361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C99B2-4040-4D0A-83EB-8CECCEC7B6E3}">
  <dimension ref="A1:C15"/>
  <sheetViews>
    <sheetView workbookViewId="0"/>
  </sheetViews>
  <sheetFormatPr defaultRowHeight="14.4" x14ac:dyDescent="0.3"/>
  <cols>
    <col min="1" max="1" width="15.109375" bestFit="1" customWidth="1"/>
    <col min="2" max="2" width="31.77734375" bestFit="1" customWidth="1"/>
    <col min="3" max="3" width="14.77734375" bestFit="1" customWidth="1"/>
  </cols>
  <sheetData>
    <row r="1" spans="1:3" x14ac:dyDescent="0.3">
      <c r="A1" t="s">
        <v>318</v>
      </c>
      <c r="B1" t="s">
        <v>332</v>
      </c>
      <c r="C1" t="s">
        <v>333</v>
      </c>
    </row>
    <row r="2" spans="1:3" x14ac:dyDescent="0.3">
      <c r="A2">
        <v>1010</v>
      </c>
      <c r="B2" t="s">
        <v>43</v>
      </c>
      <c r="C2" t="s">
        <v>334</v>
      </c>
    </row>
    <row r="3" spans="1:3" x14ac:dyDescent="0.3">
      <c r="A3">
        <v>1200</v>
      </c>
      <c r="B3" t="s">
        <v>335</v>
      </c>
      <c r="C3" t="s">
        <v>334</v>
      </c>
    </row>
    <row r="4" spans="1:3" x14ac:dyDescent="0.3">
      <c r="A4">
        <v>3010</v>
      </c>
      <c r="B4" t="s">
        <v>45</v>
      </c>
      <c r="C4" t="s">
        <v>336</v>
      </c>
    </row>
    <row r="5" spans="1:3" x14ac:dyDescent="0.3">
      <c r="A5">
        <v>4010</v>
      </c>
      <c r="B5" t="s">
        <v>160</v>
      </c>
      <c r="C5" t="s">
        <v>337</v>
      </c>
    </row>
    <row r="6" spans="1:3" x14ac:dyDescent="0.3">
      <c r="A6">
        <v>4200</v>
      </c>
      <c r="B6" t="s">
        <v>338</v>
      </c>
      <c r="C6" t="s">
        <v>337</v>
      </c>
    </row>
    <row r="7" spans="1:3" x14ac:dyDescent="0.3">
      <c r="A7">
        <v>5010</v>
      </c>
      <c r="B7" t="s">
        <v>46</v>
      </c>
      <c r="C7" t="s">
        <v>339</v>
      </c>
    </row>
    <row r="8" spans="1:3" x14ac:dyDescent="0.3">
      <c r="A8">
        <v>5020</v>
      </c>
      <c r="B8" t="s">
        <v>340</v>
      </c>
      <c r="C8" t="s">
        <v>339</v>
      </c>
    </row>
    <row r="9" spans="1:3" x14ac:dyDescent="0.3">
      <c r="A9">
        <v>5030</v>
      </c>
      <c r="B9" t="s">
        <v>231</v>
      </c>
      <c r="C9" t="s">
        <v>339</v>
      </c>
    </row>
    <row r="10" spans="1:3" x14ac:dyDescent="0.3">
      <c r="A10">
        <v>5040</v>
      </c>
      <c r="B10" t="s">
        <v>341</v>
      </c>
      <c r="C10" t="s">
        <v>339</v>
      </c>
    </row>
    <row r="11" spans="1:3" x14ac:dyDescent="0.3">
      <c r="A11">
        <v>5050</v>
      </c>
      <c r="B11" t="s">
        <v>342</v>
      </c>
      <c r="C11" t="s">
        <v>339</v>
      </c>
    </row>
    <row r="12" spans="1:3" x14ac:dyDescent="0.3">
      <c r="A12">
        <v>5060</v>
      </c>
      <c r="B12" t="s">
        <v>343</v>
      </c>
      <c r="C12" t="s">
        <v>339</v>
      </c>
    </row>
    <row r="13" spans="1:3" x14ac:dyDescent="0.3">
      <c r="A13">
        <v>5070</v>
      </c>
      <c r="B13" t="s">
        <v>217</v>
      </c>
      <c r="C13" t="s">
        <v>339</v>
      </c>
    </row>
    <row r="14" spans="1:3" x14ac:dyDescent="0.3">
      <c r="A14">
        <v>5080</v>
      </c>
      <c r="B14" t="s">
        <v>344</v>
      </c>
      <c r="C14" t="s">
        <v>339</v>
      </c>
    </row>
    <row r="15" spans="1:3" x14ac:dyDescent="0.3">
      <c r="A15">
        <v>5090</v>
      </c>
      <c r="B15" t="s">
        <v>345</v>
      </c>
      <c r="C15" t="s">
        <v>339</v>
      </c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portrait" verticalDpi="0" r:id="rId1"/>
  <headerFooter>
    <oddHeader>&amp;A</oddHead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CDDD7-64B8-44B8-95F7-7ABA66DC6319}">
  <dimension ref="A1:C3"/>
  <sheetViews>
    <sheetView workbookViewId="0"/>
  </sheetViews>
  <sheetFormatPr defaultRowHeight="14.4" x14ac:dyDescent="0.3"/>
  <cols>
    <col min="1" max="1" width="13.109375" bestFit="1" customWidth="1"/>
    <col min="2" max="2" width="27.33203125" bestFit="1" customWidth="1"/>
    <col min="3" max="3" width="62.88671875" bestFit="1" customWidth="1"/>
  </cols>
  <sheetData>
    <row r="1" spans="1:3" x14ac:dyDescent="0.3">
      <c r="A1" t="s">
        <v>326</v>
      </c>
      <c r="B1" t="s">
        <v>327</v>
      </c>
      <c r="C1" t="s">
        <v>328</v>
      </c>
    </row>
    <row r="2" spans="1:3" x14ac:dyDescent="0.3">
      <c r="A2" t="s">
        <v>36</v>
      </c>
      <c r="B2">
        <v>13.21</v>
      </c>
      <c r="C2" t="s">
        <v>329</v>
      </c>
    </row>
    <row r="3" spans="1:3" x14ac:dyDescent="0.3">
      <c r="A3" t="s">
        <v>330</v>
      </c>
      <c r="B3">
        <v>10.984999999999999</v>
      </c>
      <c r="C3" t="s">
        <v>331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50A42-2C07-4FBA-9BBF-C02E12FA7F52}">
  <dimension ref="A1:D9"/>
  <sheetViews>
    <sheetView workbookViewId="0">
      <selection activeCell="B1" sqref="B1"/>
    </sheetView>
  </sheetViews>
  <sheetFormatPr defaultRowHeight="14.4" x14ac:dyDescent="0.3"/>
  <cols>
    <col min="1" max="1" width="4.77734375" bestFit="1" customWidth="1"/>
    <col min="2" max="2" width="16.33203125" bestFit="1" customWidth="1"/>
    <col min="3" max="3" width="14" bestFit="1" customWidth="1"/>
    <col min="4" max="4" width="15.6640625" bestFit="1" customWidth="1"/>
  </cols>
  <sheetData>
    <row r="1" spans="1:4" x14ac:dyDescent="0.3">
      <c r="A1" t="s">
        <v>0</v>
      </c>
      <c r="B1" t="s">
        <v>31</v>
      </c>
      <c r="C1" t="s">
        <v>15</v>
      </c>
      <c r="D1" t="s">
        <v>325</v>
      </c>
    </row>
    <row r="2" spans="1:4" x14ac:dyDescent="0.3">
      <c r="A2">
        <v>1</v>
      </c>
      <c r="B2">
        <v>3.5</v>
      </c>
      <c r="C2" t="s">
        <v>36</v>
      </c>
      <c r="D2" s="2">
        <v>46203.403188425924</v>
      </c>
    </row>
    <row r="3" spans="1:4" x14ac:dyDescent="0.3">
      <c r="A3">
        <v>2</v>
      </c>
      <c r="B3">
        <v>3</v>
      </c>
      <c r="C3" t="s">
        <v>18</v>
      </c>
      <c r="D3" s="2">
        <v>46203.404493773145</v>
      </c>
    </row>
    <row r="4" spans="1:4" x14ac:dyDescent="0.3">
      <c r="A4">
        <v>3</v>
      </c>
      <c r="B4">
        <v>3</v>
      </c>
      <c r="C4" t="s">
        <v>20</v>
      </c>
      <c r="D4" s="2">
        <v>46203.405304687498</v>
      </c>
    </row>
    <row r="5" spans="1:4" x14ac:dyDescent="0.3">
      <c r="A5">
        <v>7</v>
      </c>
      <c r="B5">
        <v>1.5</v>
      </c>
      <c r="C5" t="s">
        <v>27</v>
      </c>
      <c r="D5" s="2">
        <v>46203.479522164351</v>
      </c>
    </row>
    <row r="6" spans="1:4" x14ac:dyDescent="0.3">
      <c r="A6">
        <v>8</v>
      </c>
      <c r="B6">
        <v>1.5</v>
      </c>
      <c r="C6" t="s">
        <v>28</v>
      </c>
      <c r="D6" s="2">
        <v>46203.480295891204</v>
      </c>
    </row>
    <row r="7" spans="1:4" x14ac:dyDescent="0.3">
      <c r="A7">
        <v>9</v>
      </c>
      <c r="B7">
        <v>3</v>
      </c>
      <c r="C7" t="s">
        <v>25</v>
      </c>
      <c r="D7" s="2">
        <v>46203.487531689818</v>
      </c>
    </row>
    <row r="8" spans="1:4" x14ac:dyDescent="0.3">
      <c r="A8">
        <v>10</v>
      </c>
      <c r="B8">
        <v>1.5</v>
      </c>
      <c r="C8" t="s">
        <v>24</v>
      </c>
      <c r="D8" s="2">
        <v>46203.534757314817</v>
      </c>
    </row>
    <row r="9" spans="1:4" x14ac:dyDescent="0.3">
      <c r="A9">
        <v>11</v>
      </c>
      <c r="B9">
        <v>1.5</v>
      </c>
      <c r="C9" t="s">
        <v>21</v>
      </c>
      <c r="D9" s="2">
        <v>46203.535500370373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F5106-0E59-4B66-ACD0-5CAC8AE38B12}">
  <dimension ref="A1:H357"/>
  <sheetViews>
    <sheetView topLeftCell="A82" workbookViewId="0"/>
  </sheetViews>
  <sheetFormatPr defaultRowHeight="14.4" x14ac:dyDescent="0.3"/>
  <cols>
    <col min="1" max="1" width="7.33203125" bestFit="1" customWidth="1"/>
    <col min="2" max="2" width="10.5546875" bestFit="1" customWidth="1"/>
    <col min="3" max="3" width="15.109375" bestFit="1" customWidth="1"/>
    <col min="4" max="4" width="46.77734375" bestFit="1" customWidth="1"/>
    <col min="5" max="5" width="9.88671875" bestFit="1" customWidth="1"/>
    <col min="6" max="6" width="9.44140625" bestFit="1" customWidth="1"/>
    <col min="7" max="7" width="14.21875" bestFit="1" customWidth="1"/>
    <col min="8" max="8" width="11.33203125" bestFit="1" customWidth="1"/>
  </cols>
  <sheetData>
    <row r="1" spans="1:8" x14ac:dyDescent="0.3">
      <c r="A1" t="s">
        <v>316</v>
      </c>
      <c r="B1" t="s">
        <v>317</v>
      </c>
      <c r="C1" t="s">
        <v>318</v>
      </c>
      <c r="D1" t="s">
        <v>39</v>
      </c>
      <c r="E1" t="s">
        <v>319</v>
      </c>
      <c r="F1" t="s">
        <v>320</v>
      </c>
      <c r="G1" t="s">
        <v>321</v>
      </c>
      <c r="H1" t="s">
        <v>322</v>
      </c>
    </row>
    <row r="2" spans="1:8" x14ac:dyDescent="0.3">
      <c r="A2">
        <v>3</v>
      </c>
      <c r="B2" s="1">
        <v>46169</v>
      </c>
      <c r="C2">
        <v>1010</v>
      </c>
      <c r="D2" t="s">
        <v>222</v>
      </c>
      <c r="E2">
        <v>12480</v>
      </c>
      <c r="F2" t="s">
        <v>323</v>
      </c>
      <c r="G2">
        <v>176</v>
      </c>
      <c r="H2">
        <v>1</v>
      </c>
    </row>
    <row r="3" spans="1:8" x14ac:dyDescent="0.3">
      <c r="A3">
        <v>4</v>
      </c>
      <c r="B3" s="1">
        <v>46169</v>
      </c>
      <c r="C3">
        <v>4010</v>
      </c>
      <c r="D3" t="s">
        <v>222</v>
      </c>
      <c r="E3">
        <v>12480</v>
      </c>
      <c r="F3" t="s">
        <v>324</v>
      </c>
      <c r="G3">
        <v>176</v>
      </c>
      <c r="H3">
        <v>1</v>
      </c>
    </row>
    <row r="4" spans="1:8" x14ac:dyDescent="0.3">
      <c r="A4">
        <v>5</v>
      </c>
      <c r="B4" s="1">
        <v>46169</v>
      </c>
      <c r="C4">
        <v>1010</v>
      </c>
      <c r="D4" t="s">
        <v>221</v>
      </c>
      <c r="E4">
        <v>14720</v>
      </c>
      <c r="F4" t="s">
        <v>323</v>
      </c>
      <c r="G4">
        <v>177</v>
      </c>
      <c r="H4">
        <v>1</v>
      </c>
    </row>
    <row r="5" spans="1:8" x14ac:dyDescent="0.3">
      <c r="A5">
        <v>6</v>
      </c>
      <c r="B5" s="1">
        <v>46169</v>
      </c>
      <c r="C5">
        <v>4010</v>
      </c>
      <c r="D5" t="s">
        <v>221</v>
      </c>
      <c r="E5">
        <v>14720</v>
      </c>
      <c r="F5" t="s">
        <v>324</v>
      </c>
      <c r="G5">
        <v>177</v>
      </c>
      <c r="H5">
        <v>1</v>
      </c>
    </row>
    <row r="6" spans="1:8" x14ac:dyDescent="0.3">
      <c r="A6">
        <v>7</v>
      </c>
      <c r="B6" s="1">
        <v>46166</v>
      </c>
      <c r="C6">
        <v>1010</v>
      </c>
      <c r="D6" t="s">
        <v>169</v>
      </c>
      <c r="E6">
        <v>16640</v>
      </c>
      <c r="F6" t="s">
        <v>323</v>
      </c>
      <c r="G6">
        <v>169</v>
      </c>
      <c r="H6">
        <v>1</v>
      </c>
    </row>
    <row r="7" spans="1:8" x14ac:dyDescent="0.3">
      <c r="A7">
        <v>8</v>
      </c>
      <c r="B7" s="1">
        <v>46166</v>
      </c>
      <c r="C7">
        <v>4010</v>
      </c>
      <c r="D7" t="s">
        <v>169</v>
      </c>
      <c r="E7">
        <v>16640</v>
      </c>
      <c r="F7" t="s">
        <v>324</v>
      </c>
      <c r="G7">
        <v>169</v>
      </c>
      <c r="H7">
        <v>1</v>
      </c>
    </row>
    <row r="8" spans="1:8" x14ac:dyDescent="0.3">
      <c r="A8">
        <v>9</v>
      </c>
      <c r="B8" s="1">
        <v>46169</v>
      </c>
      <c r="C8">
        <v>1010</v>
      </c>
      <c r="D8" t="s">
        <v>220</v>
      </c>
      <c r="E8">
        <v>19200</v>
      </c>
      <c r="F8" t="s">
        <v>323</v>
      </c>
      <c r="G8">
        <v>178</v>
      </c>
      <c r="H8">
        <v>1</v>
      </c>
    </row>
    <row r="9" spans="1:8" x14ac:dyDescent="0.3">
      <c r="A9">
        <v>10</v>
      </c>
      <c r="B9" s="1">
        <v>46169</v>
      </c>
      <c r="C9">
        <v>4010</v>
      </c>
      <c r="D9" t="s">
        <v>220</v>
      </c>
      <c r="E9">
        <v>19200</v>
      </c>
      <c r="F9" t="s">
        <v>324</v>
      </c>
      <c r="G9">
        <v>178</v>
      </c>
      <c r="H9">
        <v>1</v>
      </c>
    </row>
    <row r="10" spans="1:8" x14ac:dyDescent="0.3">
      <c r="A10">
        <v>11</v>
      </c>
      <c r="B10" s="1">
        <v>46169</v>
      </c>
      <c r="C10">
        <v>1010</v>
      </c>
      <c r="D10" t="s">
        <v>215</v>
      </c>
      <c r="E10">
        <v>15040</v>
      </c>
      <c r="F10" t="s">
        <v>323</v>
      </c>
      <c r="G10">
        <v>170</v>
      </c>
      <c r="H10">
        <v>1</v>
      </c>
    </row>
    <row r="11" spans="1:8" x14ac:dyDescent="0.3">
      <c r="A11">
        <v>12</v>
      </c>
      <c r="B11" s="1">
        <v>46169</v>
      </c>
      <c r="C11">
        <v>4010</v>
      </c>
      <c r="D11" t="s">
        <v>215</v>
      </c>
      <c r="E11">
        <v>15040</v>
      </c>
      <c r="F11" t="s">
        <v>324</v>
      </c>
      <c r="G11">
        <v>170</v>
      </c>
      <c r="H11">
        <v>1</v>
      </c>
    </row>
    <row r="12" spans="1:8" x14ac:dyDescent="0.3">
      <c r="A12">
        <v>13</v>
      </c>
      <c r="B12" s="1">
        <v>46169</v>
      </c>
      <c r="C12">
        <v>1010</v>
      </c>
      <c r="D12" t="s">
        <v>214</v>
      </c>
      <c r="E12">
        <v>14912</v>
      </c>
      <c r="F12" t="s">
        <v>323</v>
      </c>
      <c r="G12">
        <v>172</v>
      </c>
      <c r="H12">
        <v>1</v>
      </c>
    </row>
    <row r="13" spans="1:8" x14ac:dyDescent="0.3">
      <c r="A13">
        <v>14</v>
      </c>
      <c r="B13" s="1">
        <v>46169</v>
      </c>
      <c r="C13">
        <v>4010</v>
      </c>
      <c r="D13" t="s">
        <v>214</v>
      </c>
      <c r="E13">
        <v>14912</v>
      </c>
      <c r="F13" t="s">
        <v>324</v>
      </c>
      <c r="G13">
        <v>172</v>
      </c>
      <c r="H13">
        <v>1</v>
      </c>
    </row>
    <row r="14" spans="1:8" x14ac:dyDescent="0.3">
      <c r="A14">
        <v>15</v>
      </c>
      <c r="B14" s="1">
        <v>46169</v>
      </c>
      <c r="C14">
        <v>1010</v>
      </c>
      <c r="D14" t="s">
        <v>213</v>
      </c>
      <c r="E14">
        <v>16800</v>
      </c>
      <c r="F14" t="s">
        <v>323</v>
      </c>
      <c r="G14">
        <v>173</v>
      </c>
      <c r="H14">
        <v>1</v>
      </c>
    </row>
    <row r="15" spans="1:8" x14ac:dyDescent="0.3">
      <c r="A15">
        <v>16</v>
      </c>
      <c r="B15" s="1">
        <v>46169</v>
      </c>
      <c r="C15">
        <v>4010</v>
      </c>
      <c r="D15" t="s">
        <v>213</v>
      </c>
      <c r="E15">
        <v>16800</v>
      </c>
      <c r="F15" t="s">
        <v>324</v>
      </c>
      <c r="G15">
        <v>173</v>
      </c>
      <c r="H15">
        <v>1</v>
      </c>
    </row>
    <row r="16" spans="1:8" x14ac:dyDescent="0.3">
      <c r="A16">
        <v>17</v>
      </c>
      <c r="B16" s="1">
        <v>46167</v>
      </c>
      <c r="C16">
        <v>1010</v>
      </c>
      <c r="D16" t="s">
        <v>178</v>
      </c>
      <c r="E16">
        <v>16960</v>
      </c>
      <c r="F16" t="s">
        <v>323</v>
      </c>
      <c r="G16">
        <v>174</v>
      </c>
      <c r="H16">
        <v>1</v>
      </c>
    </row>
    <row r="17" spans="1:8" x14ac:dyDescent="0.3">
      <c r="A17">
        <v>18</v>
      </c>
      <c r="B17" s="1">
        <v>46167</v>
      </c>
      <c r="C17">
        <v>4010</v>
      </c>
      <c r="D17" t="s">
        <v>178</v>
      </c>
      <c r="E17">
        <v>16960</v>
      </c>
      <c r="F17" t="s">
        <v>324</v>
      </c>
      <c r="G17">
        <v>174</v>
      </c>
      <c r="H17">
        <v>1</v>
      </c>
    </row>
    <row r="18" spans="1:8" x14ac:dyDescent="0.3">
      <c r="A18">
        <v>19</v>
      </c>
      <c r="B18" s="1">
        <v>46169</v>
      </c>
      <c r="C18">
        <v>1010</v>
      </c>
      <c r="D18" t="s">
        <v>212</v>
      </c>
      <c r="E18">
        <v>15360</v>
      </c>
      <c r="F18" t="s">
        <v>323</v>
      </c>
      <c r="G18">
        <v>179</v>
      </c>
      <c r="H18">
        <v>1</v>
      </c>
    </row>
    <row r="19" spans="1:8" x14ac:dyDescent="0.3">
      <c r="A19">
        <v>20</v>
      </c>
      <c r="B19" s="1">
        <v>46169</v>
      </c>
      <c r="C19">
        <v>4010</v>
      </c>
      <c r="D19" t="s">
        <v>212</v>
      </c>
      <c r="E19">
        <v>15360</v>
      </c>
      <c r="F19" t="s">
        <v>324</v>
      </c>
      <c r="G19">
        <v>179</v>
      </c>
      <c r="H19">
        <v>1</v>
      </c>
    </row>
    <row r="20" spans="1:8" x14ac:dyDescent="0.3">
      <c r="A20">
        <v>21</v>
      </c>
      <c r="B20" s="1">
        <v>46166</v>
      </c>
      <c r="C20">
        <v>1010</v>
      </c>
      <c r="D20" t="s">
        <v>170</v>
      </c>
      <c r="E20">
        <v>15680</v>
      </c>
      <c r="F20" t="s">
        <v>323</v>
      </c>
      <c r="G20">
        <v>198</v>
      </c>
      <c r="H20">
        <v>1</v>
      </c>
    </row>
    <row r="21" spans="1:8" x14ac:dyDescent="0.3">
      <c r="A21">
        <v>22</v>
      </c>
      <c r="B21" s="1">
        <v>46166</v>
      </c>
      <c r="C21">
        <v>4010</v>
      </c>
      <c r="D21" t="s">
        <v>170</v>
      </c>
      <c r="E21">
        <v>15680</v>
      </c>
      <c r="F21" t="s">
        <v>324</v>
      </c>
      <c r="G21">
        <v>198</v>
      </c>
      <c r="H21">
        <v>1</v>
      </c>
    </row>
    <row r="22" spans="1:8" x14ac:dyDescent="0.3">
      <c r="A22">
        <v>23</v>
      </c>
      <c r="B22" s="1">
        <v>46163</v>
      </c>
      <c r="C22">
        <v>1010</v>
      </c>
      <c r="D22" t="s">
        <v>159</v>
      </c>
      <c r="E22">
        <v>16896</v>
      </c>
      <c r="F22" t="s">
        <v>323</v>
      </c>
      <c r="G22">
        <v>199</v>
      </c>
      <c r="H22">
        <v>1</v>
      </c>
    </row>
    <row r="23" spans="1:8" x14ac:dyDescent="0.3">
      <c r="A23">
        <v>24</v>
      </c>
      <c r="B23" s="1">
        <v>46163</v>
      </c>
      <c r="C23">
        <v>4010</v>
      </c>
      <c r="D23" t="s">
        <v>159</v>
      </c>
      <c r="E23">
        <v>16896</v>
      </c>
      <c r="F23" t="s">
        <v>324</v>
      </c>
      <c r="G23">
        <v>199</v>
      </c>
      <c r="H23">
        <v>1</v>
      </c>
    </row>
    <row r="24" spans="1:8" x14ac:dyDescent="0.3">
      <c r="A24">
        <v>25</v>
      </c>
      <c r="B24" s="1">
        <v>46169</v>
      </c>
      <c r="C24">
        <v>1010</v>
      </c>
      <c r="D24" t="s">
        <v>211</v>
      </c>
      <c r="E24">
        <v>11840</v>
      </c>
      <c r="F24" t="s">
        <v>323</v>
      </c>
      <c r="G24">
        <v>46</v>
      </c>
      <c r="H24">
        <v>1</v>
      </c>
    </row>
    <row r="25" spans="1:8" x14ac:dyDescent="0.3">
      <c r="A25">
        <v>26</v>
      </c>
      <c r="B25" s="1">
        <v>46169</v>
      </c>
      <c r="C25">
        <v>4010</v>
      </c>
      <c r="D25" t="s">
        <v>211</v>
      </c>
      <c r="E25">
        <v>11840</v>
      </c>
      <c r="F25" t="s">
        <v>324</v>
      </c>
      <c r="G25">
        <v>46</v>
      </c>
      <c r="H25">
        <v>1</v>
      </c>
    </row>
    <row r="26" spans="1:8" x14ac:dyDescent="0.3">
      <c r="A26">
        <v>27</v>
      </c>
      <c r="B26" s="1">
        <v>46169</v>
      </c>
      <c r="C26">
        <v>1010</v>
      </c>
      <c r="D26" t="s">
        <v>210</v>
      </c>
      <c r="E26">
        <v>15680</v>
      </c>
      <c r="F26" t="s">
        <v>323</v>
      </c>
      <c r="G26">
        <v>361</v>
      </c>
      <c r="H26">
        <v>1</v>
      </c>
    </row>
    <row r="27" spans="1:8" x14ac:dyDescent="0.3">
      <c r="A27">
        <v>28</v>
      </c>
      <c r="B27" s="1">
        <v>46169</v>
      </c>
      <c r="C27">
        <v>4010</v>
      </c>
      <c r="D27" t="s">
        <v>210</v>
      </c>
      <c r="E27">
        <v>15680</v>
      </c>
      <c r="F27" t="s">
        <v>324</v>
      </c>
      <c r="G27">
        <v>361</v>
      </c>
      <c r="H27">
        <v>1</v>
      </c>
    </row>
    <row r="28" spans="1:8" x14ac:dyDescent="0.3">
      <c r="A28">
        <v>29</v>
      </c>
      <c r="B28" s="1">
        <v>46167</v>
      </c>
      <c r="C28">
        <v>1010</v>
      </c>
      <c r="D28" t="s">
        <v>179</v>
      </c>
      <c r="E28">
        <v>13120</v>
      </c>
      <c r="F28" t="s">
        <v>323</v>
      </c>
      <c r="G28">
        <v>59</v>
      </c>
      <c r="H28">
        <v>1</v>
      </c>
    </row>
    <row r="29" spans="1:8" x14ac:dyDescent="0.3">
      <c r="A29">
        <v>30</v>
      </c>
      <c r="B29" s="1">
        <v>46167</v>
      </c>
      <c r="C29">
        <v>4010</v>
      </c>
      <c r="D29" t="s">
        <v>179</v>
      </c>
      <c r="E29">
        <v>13120</v>
      </c>
      <c r="F29" t="s">
        <v>324</v>
      </c>
      <c r="G29">
        <v>59</v>
      </c>
      <c r="H29">
        <v>1</v>
      </c>
    </row>
    <row r="30" spans="1:8" x14ac:dyDescent="0.3">
      <c r="A30">
        <v>31</v>
      </c>
      <c r="B30" s="1">
        <v>46169</v>
      </c>
      <c r="C30">
        <v>1010</v>
      </c>
      <c r="D30" t="s">
        <v>209</v>
      </c>
      <c r="E30">
        <v>15040</v>
      </c>
      <c r="F30" t="s">
        <v>323</v>
      </c>
      <c r="G30">
        <v>363</v>
      </c>
      <c r="H30">
        <v>1</v>
      </c>
    </row>
    <row r="31" spans="1:8" x14ac:dyDescent="0.3">
      <c r="A31">
        <v>32</v>
      </c>
      <c r="B31" s="1">
        <v>46169</v>
      </c>
      <c r="C31">
        <v>4010</v>
      </c>
      <c r="D31" t="s">
        <v>209</v>
      </c>
      <c r="E31">
        <v>15040</v>
      </c>
      <c r="F31" t="s">
        <v>324</v>
      </c>
      <c r="G31">
        <v>363</v>
      </c>
      <c r="H31">
        <v>1</v>
      </c>
    </row>
    <row r="32" spans="1:8" x14ac:dyDescent="0.3">
      <c r="A32">
        <v>33</v>
      </c>
      <c r="B32" s="1">
        <v>46169</v>
      </c>
      <c r="C32">
        <v>1010</v>
      </c>
      <c r="D32" t="s">
        <v>208</v>
      </c>
      <c r="E32">
        <v>19520</v>
      </c>
      <c r="F32" t="s">
        <v>323</v>
      </c>
      <c r="G32">
        <v>364</v>
      </c>
      <c r="H32">
        <v>1</v>
      </c>
    </row>
    <row r="33" spans="1:8" x14ac:dyDescent="0.3">
      <c r="A33">
        <v>34</v>
      </c>
      <c r="B33" s="1">
        <v>46169</v>
      </c>
      <c r="C33">
        <v>4010</v>
      </c>
      <c r="D33" t="s">
        <v>208</v>
      </c>
      <c r="E33">
        <v>19520</v>
      </c>
      <c r="F33" t="s">
        <v>324</v>
      </c>
      <c r="G33">
        <v>364</v>
      </c>
      <c r="H33">
        <v>1</v>
      </c>
    </row>
    <row r="34" spans="1:8" x14ac:dyDescent="0.3">
      <c r="A34">
        <v>35</v>
      </c>
      <c r="B34" s="1">
        <v>46169</v>
      </c>
      <c r="C34">
        <v>1010</v>
      </c>
      <c r="D34" t="s">
        <v>207</v>
      </c>
      <c r="E34">
        <v>14816</v>
      </c>
      <c r="F34" t="s">
        <v>323</v>
      </c>
      <c r="G34">
        <v>7</v>
      </c>
      <c r="H34">
        <v>1</v>
      </c>
    </row>
    <row r="35" spans="1:8" x14ac:dyDescent="0.3">
      <c r="A35">
        <v>36</v>
      </c>
      <c r="B35" s="1">
        <v>46169</v>
      </c>
      <c r="C35">
        <v>4010</v>
      </c>
      <c r="D35" t="s">
        <v>207</v>
      </c>
      <c r="E35">
        <v>14816</v>
      </c>
      <c r="F35" t="s">
        <v>324</v>
      </c>
      <c r="G35">
        <v>7</v>
      </c>
      <c r="H35">
        <v>1</v>
      </c>
    </row>
    <row r="36" spans="1:8" x14ac:dyDescent="0.3">
      <c r="A36">
        <v>37</v>
      </c>
      <c r="B36" s="1">
        <v>46169</v>
      </c>
      <c r="C36">
        <v>1010</v>
      </c>
      <c r="D36" t="s">
        <v>206</v>
      </c>
      <c r="E36">
        <v>17920</v>
      </c>
      <c r="F36" t="s">
        <v>323</v>
      </c>
      <c r="G36">
        <v>23</v>
      </c>
      <c r="H36">
        <v>1</v>
      </c>
    </row>
    <row r="37" spans="1:8" x14ac:dyDescent="0.3">
      <c r="A37">
        <v>38</v>
      </c>
      <c r="B37" s="1">
        <v>46169</v>
      </c>
      <c r="C37">
        <v>4010</v>
      </c>
      <c r="D37" t="s">
        <v>206</v>
      </c>
      <c r="E37">
        <v>17920</v>
      </c>
      <c r="F37" t="s">
        <v>324</v>
      </c>
      <c r="G37">
        <v>23</v>
      </c>
      <c r="H37">
        <v>1</v>
      </c>
    </row>
    <row r="38" spans="1:8" x14ac:dyDescent="0.3">
      <c r="A38">
        <v>39</v>
      </c>
      <c r="B38" s="1">
        <v>46169</v>
      </c>
      <c r="C38">
        <v>1010</v>
      </c>
      <c r="D38" t="s">
        <v>205</v>
      </c>
      <c r="E38">
        <v>13440</v>
      </c>
      <c r="F38" t="s">
        <v>323</v>
      </c>
      <c r="G38">
        <v>24</v>
      </c>
      <c r="H38">
        <v>1</v>
      </c>
    </row>
    <row r="39" spans="1:8" x14ac:dyDescent="0.3">
      <c r="A39">
        <v>40</v>
      </c>
      <c r="B39" s="1">
        <v>46169</v>
      </c>
      <c r="C39">
        <v>4010</v>
      </c>
      <c r="D39" t="s">
        <v>205</v>
      </c>
      <c r="E39">
        <v>13440</v>
      </c>
      <c r="F39" t="s">
        <v>324</v>
      </c>
      <c r="G39">
        <v>24</v>
      </c>
      <c r="H39">
        <v>1</v>
      </c>
    </row>
    <row r="40" spans="1:8" x14ac:dyDescent="0.3">
      <c r="A40">
        <v>41</v>
      </c>
      <c r="B40" s="1">
        <v>46169</v>
      </c>
      <c r="C40">
        <v>1010</v>
      </c>
      <c r="D40" t="s">
        <v>204</v>
      </c>
      <c r="E40">
        <v>12160</v>
      </c>
      <c r="F40" t="s">
        <v>323</v>
      </c>
      <c r="G40">
        <v>25</v>
      </c>
      <c r="H40">
        <v>1</v>
      </c>
    </row>
    <row r="41" spans="1:8" x14ac:dyDescent="0.3">
      <c r="A41">
        <v>42</v>
      </c>
      <c r="B41" s="1">
        <v>46169</v>
      </c>
      <c r="C41">
        <v>4010</v>
      </c>
      <c r="D41" t="s">
        <v>204</v>
      </c>
      <c r="E41">
        <v>12160</v>
      </c>
      <c r="F41" t="s">
        <v>324</v>
      </c>
      <c r="G41">
        <v>25</v>
      </c>
      <c r="H41">
        <v>1</v>
      </c>
    </row>
    <row r="42" spans="1:8" x14ac:dyDescent="0.3">
      <c r="A42">
        <v>43</v>
      </c>
      <c r="B42" s="1">
        <v>46169</v>
      </c>
      <c r="C42">
        <v>1010</v>
      </c>
      <c r="D42" t="s">
        <v>203</v>
      </c>
      <c r="E42">
        <v>13760</v>
      </c>
      <c r="F42" t="s">
        <v>323</v>
      </c>
      <c r="G42">
        <v>47</v>
      </c>
      <c r="H42">
        <v>1</v>
      </c>
    </row>
    <row r="43" spans="1:8" x14ac:dyDescent="0.3">
      <c r="A43">
        <v>44</v>
      </c>
      <c r="B43" s="1">
        <v>46169</v>
      </c>
      <c r="C43">
        <v>4010</v>
      </c>
      <c r="D43" t="s">
        <v>203</v>
      </c>
      <c r="E43">
        <v>13760</v>
      </c>
      <c r="F43" t="s">
        <v>324</v>
      </c>
      <c r="G43">
        <v>47</v>
      </c>
      <c r="H43">
        <v>1</v>
      </c>
    </row>
    <row r="44" spans="1:8" x14ac:dyDescent="0.3">
      <c r="A44">
        <v>45</v>
      </c>
      <c r="B44" s="1">
        <v>46169</v>
      </c>
      <c r="C44">
        <v>1010</v>
      </c>
      <c r="D44" t="s">
        <v>202</v>
      </c>
      <c r="E44">
        <v>13760</v>
      </c>
      <c r="F44" t="s">
        <v>323</v>
      </c>
      <c r="G44">
        <v>49</v>
      </c>
      <c r="H44">
        <v>1</v>
      </c>
    </row>
    <row r="45" spans="1:8" x14ac:dyDescent="0.3">
      <c r="A45">
        <v>46</v>
      </c>
      <c r="B45" s="1">
        <v>46169</v>
      </c>
      <c r="C45">
        <v>4010</v>
      </c>
      <c r="D45" t="s">
        <v>202</v>
      </c>
      <c r="E45">
        <v>13760</v>
      </c>
      <c r="F45" t="s">
        <v>324</v>
      </c>
      <c r="G45">
        <v>49</v>
      </c>
      <c r="H45">
        <v>1</v>
      </c>
    </row>
    <row r="46" spans="1:8" x14ac:dyDescent="0.3">
      <c r="A46">
        <v>47</v>
      </c>
      <c r="B46" s="1">
        <v>46169</v>
      </c>
      <c r="C46">
        <v>1010</v>
      </c>
      <c r="D46" t="s">
        <v>201</v>
      </c>
      <c r="E46">
        <v>12160</v>
      </c>
      <c r="F46" t="s">
        <v>323</v>
      </c>
      <c r="G46">
        <v>101</v>
      </c>
      <c r="H46">
        <v>1</v>
      </c>
    </row>
    <row r="47" spans="1:8" x14ac:dyDescent="0.3">
      <c r="A47">
        <v>48</v>
      </c>
      <c r="B47" s="1">
        <v>46169</v>
      </c>
      <c r="C47">
        <v>4010</v>
      </c>
      <c r="D47" t="s">
        <v>201</v>
      </c>
      <c r="E47">
        <v>12160</v>
      </c>
      <c r="F47" t="s">
        <v>324</v>
      </c>
      <c r="G47">
        <v>101</v>
      </c>
      <c r="H47">
        <v>1</v>
      </c>
    </row>
    <row r="48" spans="1:8" x14ac:dyDescent="0.3">
      <c r="A48">
        <v>49</v>
      </c>
      <c r="B48" s="1">
        <v>46169</v>
      </c>
      <c r="C48">
        <v>1010</v>
      </c>
      <c r="D48" t="s">
        <v>200</v>
      </c>
      <c r="E48">
        <v>15040</v>
      </c>
      <c r="F48" t="s">
        <v>323</v>
      </c>
      <c r="G48">
        <v>197</v>
      </c>
      <c r="H48">
        <v>1</v>
      </c>
    </row>
    <row r="49" spans="1:8" x14ac:dyDescent="0.3">
      <c r="A49">
        <v>50</v>
      </c>
      <c r="B49" s="1">
        <v>46169</v>
      </c>
      <c r="C49">
        <v>4010</v>
      </c>
      <c r="D49" t="s">
        <v>200</v>
      </c>
      <c r="E49">
        <v>15040</v>
      </c>
      <c r="F49" t="s">
        <v>324</v>
      </c>
      <c r="G49">
        <v>197</v>
      </c>
      <c r="H49">
        <v>1</v>
      </c>
    </row>
    <row r="50" spans="1:8" x14ac:dyDescent="0.3">
      <c r="A50">
        <v>51</v>
      </c>
      <c r="B50" s="1">
        <v>46169</v>
      </c>
      <c r="C50">
        <v>1010</v>
      </c>
      <c r="D50" t="s">
        <v>199</v>
      </c>
      <c r="E50">
        <v>13120</v>
      </c>
      <c r="F50" t="s">
        <v>323</v>
      </c>
      <c r="G50">
        <v>52</v>
      </c>
      <c r="H50">
        <v>1</v>
      </c>
    </row>
    <row r="51" spans="1:8" x14ac:dyDescent="0.3">
      <c r="A51">
        <v>52</v>
      </c>
      <c r="B51" s="1">
        <v>46169</v>
      </c>
      <c r="C51">
        <v>4010</v>
      </c>
      <c r="D51" t="s">
        <v>199</v>
      </c>
      <c r="E51">
        <v>13120</v>
      </c>
      <c r="F51" t="s">
        <v>324</v>
      </c>
      <c r="G51">
        <v>52</v>
      </c>
      <c r="H51">
        <v>1</v>
      </c>
    </row>
    <row r="52" spans="1:8" x14ac:dyDescent="0.3">
      <c r="A52">
        <v>53</v>
      </c>
      <c r="B52" s="1">
        <v>46164</v>
      </c>
      <c r="C52">
        <v>1010</v>
      </c>
      <c r="D52" t="s">
        <v>165</v>
      </c>
      <c r="E52">
        <v>16000</v>
      </c>
      <c r="F52" t="s">
        <v>323</v>
      </c>
      <c r="G52">
        <v>66</v>
      </c>
      <c r="H52">
        <v>1</v>
      </c>
    </row>
    <row r="53" spans="1:8" x14ac:dyDescent="0.3">
      <c r="A53">
        <v>54</v>
      </c>
      <c r="B53" s="1">
        <v>46164</v>
      </c>
      <c r="C53">
        <v>4010</v>
      </c>
      <c r="D53" t="s">
        <v>165</v>
      </c>
      <c r="E53">
        <v>16000</v>
      </c>
      <c r="F53" t="s">
        <v>324</v>
      </c>
      <c r="G53">
        <v>66</v>
      </c>
      <c r="H53">
        <v>1</v>
      </c>
    </row>
    <row r="54" spans="1:8" x14ac:dyDescent="0.3">
      <c r="A54">
        <v>55</v>
      </c>
      <c r="B54" s="1">
        <v>46169</v>
      </c>
      <c r="C54">
        <v>1010</v>
      </c>
      <c r="D54" t="s">
        <v>198</v>
      </c>
      <c r="E54">
        <v>18016</v>
      </c>
      <c r="F54" t="s">
        <v>323</v>
      </c>
      <c r="G54">
        <v>129</v>
      </c>
      <c r="H54">
        <v>1</v>
      </c>
    </row>
    <row r="55" spans="1:8" x14ac:dyDescent="0.3">
      <c r="A55">
        <v>56</v>
      </c>
      <c r="B55" s="1">
        <v>46169</v>
      </c>
      <c r="C55">
        <v>4010</v>
      </c>
      <c r="D55" t="s">
        <v>198</v>
      </c>
      <c r="E55">
        <v>18016</v>
      </c>
      <c r="F55" t="s">
        <v>324</v>
      </c>
      <c r="G55">
        <v>129</v>
      </c>
      <c r="H55">
        <v>1</v>
      </c>
    </row>
    <row r="56" spans="1:8" x14ac:dyDescent="0.3">
      <c r="A56">
        <v>57</v>
      </c>
      <c r="B56" s="1">
        <v>46169</v>
      </c>
      <c r="C56">
        <v>1010</v>
      </c>
      <c r="D56" t="s">
        <v>197</v>
      </c>
      <c r="E56">
        <v>16928</v>
      </c>
      <c r="F56" t="s">
        <v>323</v>
      </c>
      <c r="G56">
        <v>114</v>
      </c>
      <c r="H56">
        <v>1</v>
      </c>
    </row>
    <row r="57" spans="1:8" x14ac:dyDescent="0.3">
      <c r="A57">
        <v>58</v>
      </c>
      <c r="B57" s="1">
        <v>46169</v>
      </c>
      <c r="C57">
        <v>4010</v>
      </c>
      <c r="D57" t="s">
        <v>197</v>
      </c>
      <c r="E57">
        <v>16928</v>
      </c>
      <c r="F57" t="s">
        <v>324</v>
      </c>
      <c r="G57">
        <v>114</v>
      </c>
      <c r="H57">
        <v>1</v>
      </c>
    </row>
    <row r="58" spans="1:8" x14ac:dyDescent="0.3">
      <c r="A58">
        <v>59</v>
      </c>
      <c r="B58" s="1">
        <v>46166</v>
      </c>
      <c r="C58">
        <v>1010</v>
      </c>
      <c r="D58" t="s">
        <v>171</v>
      </c>
      <c r="E58">
        <v>15040</v>
      </c>
      <c r="F58" t="s">
        <v>323</v>
      </c>
      <c r="G58">
        <v>175</v>
      </c>
      <c r="H58">
        <v>1</v>
      </c>
    </row>
    <row r="59" spans="1:8" x14ac:dyDescent="0.3">
      <c r="A59">
        <v>60</v>
      </c>
      <c r="B59" s="1">
        <v>46166</v>
      </c>
      <c r="C59">
        <v>4010</v>
      </c>
      <c r="D59" t="s">
        <v>171</v>
      </c>
      <c r="E59">
        <v>15040</v>
      </c>
      <c r="F59" t="s">
        <v>324</v>
      </c>
      <c r="G59">
        <v>175</v>
      </c>
      <c r="H59">
        <v>1</v>
      </c>
    </row>
    <row r="60" spans="1:8" x14ac:dyDescent="0.3">
      <c r="A60">
        <v>61</v>
      </c>
      <c r="B60" s="1">
        <v>46169</v>
      </c>
      <c r="C60">
        <v>1010</v>
      </c>
      <c r="D60" t="s">
        <v>196</v>
      </c>
      <c r="E60">
        <v>17888</v>
      </c>
      <c r="F60" t="s">
        <v>323</v>
      </c>
      <c r="G60">
        <v>22</v>
      </c>
      <c r="H60">
        <v>1</v>
      </c>
    </row>
    <row r="61" spans="1:8" x14ac:dyDescent="0.3">
      <c r="A61">
        <v>62</v>
      </c>
      <c r="B61" s="1">
        <v>46169</v>
      </c>
      <c r="C61">
        <v>4010</v>
      </c>
      <c r="D61" t="s">
        <v>196</v>
      </c>
      <c r="E61">
        <v>17888</v>
      </c>
      <c r="F61" t="s">
        <v>324</v>
      </c>
      <c r="G61">
        <v>22</v>
      </c>
      <c r="H61">
        <v>1</v>
      </c>
    </row>
    <row r="62" spans="1:8" x14ac:dyDescent="0.3">
      <c r="A62">
        <v>63</v>
      </c>
      <c r="B62" s="1">
        <v>46166</v>
      </c>
      <c r="C62">
        <v>1010</v>
      </c>
      <c r="D62" t="s">
        <v>172</v>
      </c>
      <c r="E62">
        <v>17280</v>
      </c>
      <c r="F62" t="s">
        <v>323</v>
      </c>
      <c r="G62">
        <v>50</v>
      </c>
      <c r="H62">
        <v>1</v>
      </c>
    </row>
    <row r="63" spans="1:8" x14ac:dyDescent="0.3">
      <c r="A63">
        <v>64</v>
      </c>
      <c r="B63" s="1">
        <v>46166</v>
      </c>
      <c r="C63">
        <v>4010</v>
      </c>
      <c r="D63" t="s">
        <v>172</v>
      </c>
      <c r="E63">
        <v>17280</v>
      </c>
      <c r="F63" t="s">
        <v>324</v>
      </c>
      <c r="G63">
        <v>50</v>
      </c>
      <c r="H63">
        <v>1</v>
      </c>
    </row>
    <row r="64" spans="1:8" x14ac:dyDescent="0.3">
      <c r="A64">
        <v>65</v>
      </c>
      <c r="B64" s="1">
        <v>46169</v>
      </c>
      <c r="C64">
        <v>1010</v>
      </c>
      <c r="D64" t="s">
        <v>195</v>
      </c>
      <c r="E64">
        <v>16960</v>
      </c>
      <c r="F64" t="s">
        <v>323</v>
      </c>
      <c r="G64">
        <v>99</v>
      </c>
      <c r="H64">
        <v>1</v>
      </c>
    </row>
    <row r="65" spans="1:8" x14ac:dyDescent="0.3">
      <c r="A65">
        <v>66</v>
      </c>
      <c r="B65" s="1">
        <v>46169</v>
      </c>
      <c r="C65">
        <v>4010</v>
      </c>
      <c r="D65" t="s">
        <v>195</v>
      </c>
      <c r="E65">
        <v>16960</v>
      </c>
      <c r="F65" t="s">
        <v>324</v>
      </c>
      <c r="G65">
        <v>99</v>
      </c>
      <c r="H65">
        <v>1</v>
      </c>
    </row>
    <row r="66" spans="1:8" x14ac:dyDescent="0.3">
      <c r="A66">
        <v>67</v>
      </c>
      <c r="B66" s="1">
        <v>46163</v>
      </c>
      <c r="C66">
        <v>1010</v>
      </c>
      <c r="D66" t="s">
        <v>161</v>
      </c>
      <c r="E66">
        <v>16800</v>
      </c>
      <c r="F66" t="s">
        <v>323</v>
      </c>
      <c r="G66">
        <v>171</v>
      </c>
      <c r="H66">
        <v>1</v>
      </c>
    </row>
    <row r="67" spans="1:8" x14ac:dyDescent="0.3">
      <c r="A67">
        <v>68</v>
      </c>
      <c r="B67" s="1">
        <v>46163</v>
      </c>
      <c r="C67">
        <v>4010</v>
      </c>
      <c r="D67" t="s">
        <v>161</v>
      </c>
      <c r="E67">
        <v>16800</v>
      </c>
      <c r="F67" t="s">
        <v>324</v>
      </c>
      <c r="G67">
        <v>171</v>
      </c>
      <c r="H67">
        <v>1</v>
      </c>
    </row>
    <row r="68" spans="1:8" x14ac:dyDescent="0.3">
      <c r="A68">
        <v>69</v>
      </c>
      <c r="B68" s="1">
        <v>46169</v>
      </c>
      <c r="C68">
        <v>1010</v>
      </c>
      <c r="D68" t="s">
        <v>194</v>
      </c>
      <c r="E68">
        <v>13632</v>
      </c>
      <c r="F68" t="s">
        <v>323</v>
      </c>
      <c r="G68">
        <v>200</v>
      </c>
      <c r="H68">
        <v>1</v>
      </c>
    </row>
    <row r="69" spans="1:8" x14ac:dyDescent="0.3">
      <c r="A69">
        <v>70</v>
      </c>
      <c r="B69" s="1">
        <v>46169</v>
      </c>
      <c r="C69">
        <v>4010</v>
      </c>
      <c r="D69" t="s">
        <v>194</v>
      </c>
      <c r="E69">
        <v>13632</v>
      </c>
      <c r="F69" t="s">
        <v>324</v>
      </c>
      <c r="G69">
        <v>200</v>
      </c>
      <c r="H69">
        <v>1</v>
      </c>
    </row>
    <row r="70" spans="1:8" x14ac:dyDescent="0.3">
      <c r="A70">
        <v>73</v>
      </c>
      <c r="B70" s="1">
        <v>46164</v>
      </c>
      <c r="C70">
        <v>1010</v>
      </c>
      <c r="D70" t="s">
        <v>166</v>
      </c>
      <c r="E70">
        <v>16960</v>
      </c>
      <c r="F70" t="s">
        <v>323</v>
      </c>
      <c r="G70">
        <v>91</v>
      </c>
      <c r="H70">
        <v>1</v>
      </c>
    </row>
    <row r="71" spans="1:8" x14ac:dyDescent="0.3">
      <c r="A71">
        <v>74</v>
      </c>
      <c r="B71" s="1">
        <v>46164</v>
      </c>
      <c r="C71">
        <v>4010</v>
      </c>
      <c r="D71" t="s">
        <v>166</v>
      </c>
      <c r="E71">
        <v>16960</v>
      </c>
      <c r="F71" t="s">
        <v>324</v>
      </c>
      <c r="G71">
        <v>91</v>
      </c>
      <c r="H71">
        <v>1</v>
      </c>
    </row>
    <row r="72" spans="1:8" x14ac:dyDescent="0.3">
      <c r="A72">
        <v>116</v>
      </c>
      <c r="B72" s="1">
        <v>46030</v>
      </c>
      <c r="C72">
        <v>1010</v>
      </c>
      <c r="D72" t="s">
        <v>48</v>
      </c>
      <c r="E72">
        <v>20425</v>
      </c>
      <c r="F72" t="s">
        <v>324</v>
      </c>
      <c r="H72">
        <v>1</v>
      </c>
    </row>
    <row r="73" spans="1:8" x14ac:dyDescent="0.3">
      <c r="A73">
        <v>117</v>
      </c>
      <c r="B73" s="1">
        <v>46030</v>
      </c>
      <c r="C73">
        <v>5010</v>
      </c>
      <c r="D73" t="s">
        <v>48</v>
      </c>
      <c r="E73">
        <v>20425</v>
      </c>
      <c r="F73" t="s">
        <v>323</v>
      </c>
      <c r="H73">
        <v>1</v>
      </c>
    </row>
    <row r="74" spans="1:8" x14ac:dyDescent="0.3">
      <c r="A74">
        <v>118</v>
      </c>
      <c r="B74" s="1">
        <v>46033</v>
      </c>
      <c r="C74">
        <v>1010</v>
      </c>
      <c r="D74" t="s">
        <v>47</v>
      </c>
      <c r="E74">
        <v>22000</v>
      </c>
      <c r="F74" t="s">
        <v>324</v>
      </c>
      <c r="H74">
        <v>1</v>
      </c>
    </row>
    <row r="75" spans="1:8" x14ac:dyDescent="0.3">
      <c r="A75">
        <v>119</v>
      </c>
      <c r="B75" s="1">
        <v>46033</v>
      </c>
      <c r="C75">
        <v>5010</v>
      </c>
      <c r="D75" t="s">
        <v>47</v>
      </c>
      <c r="E75">
        <v>22000</v>
      </c>
      <c r="F75" t="s">
        <v>323</v>
      </c>
      <c r="H75">
        <v>1</v>
      </c>
    </row>
    <row r="76" spans="1:8" x14ac:dyDescent="0.3">
      <c r="A76">
        <v>120</v>
      </c>
      <c r="B76" s="1">
        <v>46038</v>
      </c>
      <c r="C76">
        <v>1010</v>
      </c>
      <c r="D76" t="s">
        <v>48</v>
      </c>
      <c r="E76">
        <v>17000</v>
      </c>
      <c r="F76" t="s">
        <v>324</v>
      </c>
      <c r="H76">
        <v>1</v>
      </c>
    </row>
    <row r="77" spans="1:8" x14ac:dyDescent="0.3">
      <c r="A77">
        <v>121</v>
      </c>
      <c r="B77" s="1">
        <v>46038</v>
      </c>
      <c r="C77">
        <v>5010</v>
      </c>
      <c r="D77" t="s">
        <v>48</v>
      </c>
      <c r="E77">
        <v>17000</v>
      </c>
      <c r="F77" t="s">
        <v>323</v>
      </c>
      <c r="H77">
        <v>1</v>
      </c>
    </row>
    <row r="78" spans="1:8" x14ac:dyDescent="0.3">
      <c r="A78">
        <v>122</v>
      </c>
      <c r="B78" s="1">
        <v>46050</v>
      </c>
      <c r="C78">
        <v>1010</v>
      </c>
      <c r="D78" t="s">
        <v>47</v>
      </c>
      <c r="E78">
        <v>20289</v>
      </c>
      <c r="F78" t="s">
        <v>324</v>
      </c>
      <c r="H78">
        <v>1</v>
      </c>
    </row>
    <row r="79" spans="1:8" x14ac:dyDescent="0.3">
      <c r="A79">
        <v>123</v>
      </c>
      <c r="B79" s="1">
        <v>46050</v>
      </c>
      <c r="C79">
        <v>5010</v>
      </c>
      <c r="D79" t="s">
        <v>47</v>
      </c>
      <c r="E79">
        <v>20289</v>
      </c>
      <c r="F79" t="s">
        <v>323</v>
      </c>
      <c r="H79">
        <v>1</v>
      </c>
    </row>
    <row r="80" spans="1:8" x14ac:dyDescent="0.3">
      <c r="A80">
        <v>124</v>
      </c>
      <c r="B80" s="1">
        <v>46072</v>
      </c>
      <c r="C80">
        <v>1010</v>
      </c>
      <c r="D80" t="s">
        <v>47</v>
      </c>
      <c r="E80">
        <v>17550</v>
      </c>
      <c r="F80" t="s">
        <v>324</v>
      </c>
      <c r="H80">
        <v>1</v>
      </c>
    </row>
    <row r="81" spans="1:8" x14ac:dyDescent="0.3">
      <c r="A81">
        <v>125</v>
      </c>
      <c r="B81" s="1">
        <v>46072</v>
      </c>
      <c r="C81">
        <v>5010</v>
      </c>
      <c r="D81" t="s">
        <v>47</v>
      </c>
      <c r="E81">
        <v>17550</v>
      </c>
      <c r="F81" t="s">
        <v>323</v>
      </c>
      <c r="H81">
        <v>1</v>
      </c>
    </row>
    <row r="82" spans="1:8" x14ac:dyDescent="0.3">
      <c r="A82">
        <v>126</v>
      </c>
      <c r="B82" s="1">
        <v>46072</v>
      </c>
      <c r="C82">
        <v>1010</v>
      </c>
      <c r="D82" t="s">
        <v>48</v>
      </c>
      <c r="E82">
        <v>17943</v>
      </c>
      <c r="F82" t="s">
        <v>324</v>
      </c>
      <c r="H82">
        <v>1</v>
      </c>
    </row>
    <row r="83" spans="1:8" x14ac:dyDescent="0.3">
      <c r="A83">
        <v>127</v>
      </c>
      <c r="B83" s="1">
        <v>46072</v>
      </c>
      <c r="C83">
        <v>5010</v>
      </c>
      <c r="D83" t="s">
        <v>48</v>
      </c>
      <c r="E83">
        <v>17943</v>
      </c>
      <c r="F83" t="s">
        <v>323</v>
      </c>
      <c r="H83">
        <v>1</v>
      </c>
    </row>
    <row r="84" spans="1:8" x14ac:dyDescent="0.3">
      <c r="A84">
        <v>128</v>
      </c>
      <c r="B84" s="1">
        <v>46072</v>
      </c>
      <c r="C84">
        <v>1010</v>
      </c>
      <c r="D84" t="s">
        <v>48</v>
      </c>
      <c r="E84">
        <v>22556</v>
      </c>
      <c r="F84" t="s">
        <v>324</v>
      </c>
      <c r="H84">
        <v>1</v>
      </c>
    </row>
    <row r="85" spans="1:8" x14ac:dyDescent="0.3">
      <c r="A85">
        <v>129</v>
      </c>
      <c r="B85" s="1">
        <v>46072</v>
      </c>
      <c r="C85">
        <v>5010</v>
      </c>
      <c r="D85" t="s">
        <v>48</v>
      </c>
      <c r="E85">
        <v>22556</v>
      </c>
      <c r="F85" t="s">
        <v>323</v>
      </c>
      <c r="H85">
        <v>1</v>
      </c>
    </row>
    <row r="86" spans="1:8" x14ac:dyDescent="0.3">
      <c r="A86">
        <v>130</v>
      </c>
      <c r="B86" s="1">
        <v>46092</v>
      </c>
      <c r="C86">
        <v>1010</v>
      </c>
      <c r="D86" t="s">
        <v>48</v>
      </c>
      <c r="E86">
        <v>20412</v>
      </c>
      <c r="F86" t="s">
        <v>324</v>
      </c>
      <c r="H86">
        <v>1</v>
      </c>
    </row>
    <row r="87" spans="1:8" x14ac:dyDescent="0.3">
      <c r="A87">
        <v>131</v>
      </c>
      <c r="B87" s="1">
        <v>46092</v>
      </c>
      <c r="C87">
        <v>5010</v>
      </c>
      <c r="D87" t="s">
        <v>48</v>
      </c>
      <c r="E87">
        <v>20412</v>
      </c>
      <c r="F87" t="s">
        <v>323</v>
      </c>
      <c r="H87">
        <v>1</v>
      </c>
    </row>
    <row r="88" spans="1:8" x14ac:dyDescent="0.3">
      <c r="A88">
        <v>132</v>
      </c>
      <c r="B88" s="1">
        <v>46094</v>
      </c>
      <c r="C88">
        <v>1010</v>
      </c>
      <c r="D88" t="s">
        <v>47</v>
      </c>
      <c r="E88">
        <v>21420</v>
      </c>
      <c r="F88" t="s">
        <v>324</v>
      </c>
      <c r="H88">
        <v>1</v>
      </c>
    </row>
    <row r="89" spans="1:8" x14ac:dyDescent="0.3">
      <c r="A89">
        <v>133</v>
      </c>
      <c r="B89" s="1">
        <v>46094</v>
      </c>
      <c r="C89">
        <v>5010</v>
      </c>
      <c r="D89" t="s">
        <v>47</v>
      </c>
      <c r="E89">
        <v>21420</v>
      </c>
      <c r="F89" t="s">
        <v>323</v>
      </c>
      <c r="H89">
        <v>1</v>
      </c>
    </row>
    <row r="90" spans="1:8" x14ac:dyDescent="0.3">
      <c r="A90">
        <v>134</v>
      </c>
      <c r="B90" s="1">
        <v>46110</v>
      </c>
      <c r="C90">
        <v>1010</v>
      </c>
      <c r="D90" t="s">
        <v>48</v>
      </c>
      <c r="E90">
        <v>26112</v>
      </c>
      <c r="F90" t="s">
        <v>324</v>
      </c>
      <c r="H90">
        <v>1</v>
      </c>
    </row>
    <row r="91" spans="1:8" x14ac:dyDescent="0.3">
      <c r="A91">
        <v>135</v>
      </c>
      <c r="B91" s="1">
        <v>46110</v>
      </c>
      <c r="C91">
        <v>5010</v>
      </c>
      <c r="D91" t="s">
        <v>48</v>
      </c>
      <c r="E91">
        <v>26112</v>
      </c>
      <c r="F91" t="s">
        <v>323</v>
      </c>
      <c r="H91">
        <v>1</v>
      </c>
    </row>
    <row r="92" spans="1:8" x14ac:dyDescent="0.3">
      <c r="A92">
        <v>136</v>
      </c>
      <c r="B92" s="1">
        <v>46110</v>
      </c>
      <c r="C92">
        <v>1010</v>
      </c>
      <c r="D92" t="s">
        <v>49</v>
      </c>
      <c r="E92">
        <v>14700</v>
      </c>
      <c r="F92" t="s">
        <v>324</v>
      </c>
      <c r="H92">
        <v>1</v>
      </c>
    </row>
    <row r="93" spans="1:8" x14ac:dyDescent="0.3">
      <c r="A93">
        <v>137</v>
      </c>
      <c r="B93" s="1">
        <v>46110</v>
      </c>
      <c r="C93">
        <v>5010</v>
      </c>
      <c r="D93" t="s">
        <v>49</v>
      </c>
      <c r="E93">
        <v>14700</v>
      </c>
      <c r="F93" t="s">
        <v>323</v>
      </c>
      <c r="H93">
        <v>1</v>
      </c>
    </row>
    <row r="94" spans="1:8" x14ac:dyDescent="0.3">
      <c r="A94">
        <v>138</v>
      </c>
      <c r="B94" s="1">
        <v>46112</v>
      </c>
      <c r="C94">
        <v>1010</v>
      </c>
      <c r="D94" t="s">
        <v>48</v>
      </c>
      <c r="E94">
        <v>26112</v>
      </c>
      <c r="F94" t="s">
        <v>324</v>
      </c>
      <c r="H94">
        <v>1</v>
      </c>
    </row>
    <row r="95" spans="1:8" x14ac:dyDescent="0.3">
      <c r="A95">
        <v>139</v>
      </c>
      <c r="B95" s="1">
        <v>46112</v>
      </c>
      <c r="C95">
        <v>5010</v>
      </c>
      <c r="D95" t="s">
        <v>48</v>
      </c>
      <c r="E95">
        <v>26112</v>
      </c>
      <c r="F95" t="s">
        <v>323</v>
      </c>
      <c r="H95">
        <v>1</v>
      </c>
    </row>
    <row r="96" spans="1:8" x14ac:dyDescent="0.3">
      <c r="A96">
        <v>140</v>
      </c>
      <c r="B96" s="1">
        <v>46112</v>
      </c>
      <c r="C96">
        <v>1010</v>
      </c>
      <c r="D96" t="s">
        <v>47</v>
      </c>
      <c r="E96">
        <v>19762</v>
      </c>
      <c r="F96" t="s">
        <v>324</v>
      </c>
      <c r="H96">
        <v>1</v>
      </c>
    </row>
    <row r="97" spans="1:8" x14ac:dyDescent="0.3">
      <c r="A97">
        <v>141</v>
      </c>
      <c r="B97" s="1">
        <v>46112</v>
      </c>
      <c r="C97">
        <v>5010</v>
      </c>
      <c r="D97" t="s">
        <v>47</v>
      </c>
      <c r="E97">
        <v>19762</v>
      </c>
      <c r="F97" t="s">
        <v>323</v>
      </c>
      <c r="H97">
        <v>1</v>
      </c>
    </row>
    <row r="98" spans="1:8" x14ac:dyDescent="0.3">
      <c r="A98">
        <v>142</v>
      </c>
      <c r="B98" s="1">
        <v>46112</v>
      </c>
      <c r="C98">
        <v>1010</v>
      </c>
      <c r="D98" t="s">
        <v>47</v>
      </c>
      <c r="E98">
        <v>20000</v>
      </c>
      <c r="F98" t="s">
        <v>324</v>
      </c>
      <c r="H98">
        <v>1</v>
      </c>
    </row>
    <row r="99" spans="1:8" x14ac:dyDescent="0.3">
      <c r="A99">
        <v>143</v>
      </c>
      <c r="B99" s="1">
        <v>46112</v>
      </c>
      <c r="C99">
        <v>5010</v>
      </c>
      <c r="D99" t="s">
        <v>47</v>
      </c>
      <c r="E99">
        <v>20000</v>
      </c>
      <c r="F99" t="s">
        <v>323</v>
      </c>
      <c r="H99">
        <v>1</v>
      </c>
    </row>
    <row r="100" spans="1:8" x14ac:dyDescent="0.3">
      <c r="A100">
        <v>144</v>
      </c>
      <c r="B100" s="1">
        <v>46112</v>
      </c>
      <c r="C100">
        <v>1010</v>
      </c>
      <c r="D100" t="s">
        <v>47</v>
      </c>
      <c r="E100">
        <v>24750</v>
      </c>
      <c r="F100" t="s">
        <v>324</v>
      </c>
      <c r="H100">
        <v>1</v>
      </c>
    </row>
    <row r="101" spans="1:8" x14ac:dyDescent="0.3">
      <c r="A101">
        <v>145</v>
      </c>
      <c r="B101" s="1">
        <v>46112</v>
      </c>
      <c r="C101">
        <v>5010</v>
      </c>
      <c r="D101" t="s">
        <v>47</v>
      </c>
      <c r="E101">
        <v>24750</v>
      </c>
      <c r="F101" t="s">
        <v>323</v>
      </c>
      <c r="H101">
        <v>1</v>
      </c>
    </row>
    <row r="102" spans="1:8" x14ac:dyDescent="0.3">
      <c r="A102">
        <v>146</v>
      </c>
      <c r="B102" s="1">
        <v>46120</v>
      </c>
      <c r="C102">
        <v>1010</v>
      </c>
      <c r="D102" t="s">
        <v>123</v>
      </c>
      <c r="E102">
        <v>11400</v>
      </c>
      <c r="F102" t="s">
        <v>324</v>
      </c>
      <c r="H102">
        <v>1</v>
      </c>
    </row>
    <row r="103" spans="1:8" x14ac:dyDescent="0.3">
      <c r="A103">
        <v>147</v>
      </c>
      <c r="B103" s="1">
        <v>46120</v>
      </c>
      <c r="C103">
        <v>5010</v>
      </c>
      <c r="D103" t="s">
        <v>123</v>
      </c>
      <c r="E103">
        <v>11400</v>
      </c>
      <c r="F103" t="s">
        <v>323</v>
      </c>
      <c r="H103">
        <v>1</v>
      </c>
    </row>
    <row r="104" spans="1:8" x14ac:dyDescent="0.3">
      <c r="A104">
        <v>148</v>
      </c>
      <c r="B104" s="1">
        <v>46120</v>
      </c>
      <c r="C104">
        <v>1010</v>
      </c>
      <c r="D104" t="s">
        <v>122</v>
      </c>
      <c r="E104">
        <v>5800</v>
      </c>
      <c r="F104" t="s">
        <v>324</v>
      </c>
      <c r="H104">
        <v>1</v>
      </c>
    </row>
    <row r="105" spans="1:8" x14ac:dyDescent="0.3">
      <c r="A105">
        <v>149</v>
      </c>
      <c r="B105" s="1">
        <v>46120</v>
      </c>
      <c r="C105">
        <v>5010</v>
      </c>
      <c r="D105" t="s">
        <v>122</v>
      </c>
      <c r="E105">
        <v>5800</v>
      </c>
      <c r="F105" t="s">
        <v>323</v>
      </c>
      <c r="H105">
        <v>1</v>
      </c>
    </row>
    <row r="106" spans="1:8" x14ac:dyDescent="0.3">
      <c r="A106">
        <v>150</v>
      </c>
      <c r="B106" s="1">
        <v>46120</v>
      </c>
      <c r="C106">
        <v>1010</v>
      </c>
      <c r="D106" t="s">
        <v>124</v>
      </c>
      <c r="E106">
        <v>3715</v>
      </c>
      <c r="F106" t="s">
        <v>324</v>
      </c>
      <c r="H106">
        <v>1</v>
      </c>
    </row>
    <row r="107" spans="1:8" x14ac:dyDescent="0.3">
      <c r="A107">
        <v>151</v>
      </c>
      <c r="B107" s="1">
        <v>46120</v>
      </c>
      <c r="C107">
        <v>5010</v>
      </c>
      <c r="D107" t="s">
        <v>124</v>
      </c>
      <c r="E107">
        <v>3715</v>
      </c>
      <c r="F107" t="s">
        <v>323</v>
      </c>
      <c r="H107">
        <v>1</v>
      </c>
    </row>
    <row r="108" spans="1:8" x14ac:dyDescent="0.3">
      <c r="A108">
        <v>152</v>
      </c>
      <c r="B108" s="1">
        <v>46126</v>
      </c>
      <c r="C108">
        <v>1010</v>
      </c>
      <c r="D108" t="s">
        <v>47</v>
      </c>
      <c r="E108">
        <v>17505</v>
      </c>
      <c r="F108" t="s">
        <v>324</v>
      </c>
      <c r="H108">
        <v>1</v>
      </c>
    </row>
    <row r="109" spans="1:8" x14ac:dyDescent="0.3">
      <c r="A109">
        <v>153</v>
      </c>
      <c r="B109" s="1">
        <v>46126</v>
      </c>
      <c r="C109">
        <v>5010</v>
      </c>
      <c r="D109" t="s">
        <v>47</v>
      </c>
      <c r="E109">
        <v>17505</v>
      </c>
      <c r="F109" t="s">
        <v>323</v>
      </c>
      <c r="H109">
        <v>1</v>
      </c>
    </row>
    <row r="110" spans="1:8" x14ac:dyDescent="0.3">
      <c r="A110">
        <v>154</v>
      </c>
      <c r="B110" s="1">
        <v>46127</v>
      </c>
      <c r="C110">
        <v>1010</v>
      </c>
      <c r="D110" t="s">
        <v>47</v>
      </c>
      <c r="E110">
        <v>24750</v>
      </c>
      <c r="F110" t="s">
        <v>324</v>
      </c>
      <c r="H110">
        <v>1</v>
      </c>
    </row>
    <row r="111" spans="1:8" x14ac:dyDescent="0.3">
      <c r="A111">
        <v>155</v>
      </c>
      <c r="B111" s="1">
        <v>46127</v>
      </c>
      <c r="C111">
        <v>5010</v>
      </c>
      <c r="D111" t="s">
        <v>47</v>
      </c>
      <c r="E111">
        <v>24750</v>
      </c>
      <c r="F111" t="s">
        <v>323</v>
      </c>
      <c r="H111">
        <v>1</v>
      </c>
    </row>
    <row r="112" spans="1:8" x14ac:dyDescent="0.3">
      <c r="A112">
        <v>156</v>
      </c>
      <c r="B112" s="1">
        <v>46130</v>
      </c>
      <c r="C112">
        <v>1010</v>
      </c>
      <c r="D112" t="s">
        <v>48</v>
      </c>
      <c r="E112">
        <v>24840</v>
      </c>
      <c r="F112" t="s">
        <v>324</v>
      </c>
      <c r="H112">
        <v>1</v>
      </c>
    </row>
    <row r="113" spans="1:8" x14ac:dyDescent="0.3">
      <c r="A113">
        <v>157</v>
      </c>
      <c r="B113" s="1">
        <v>46130</v>
      </c>
      <c r="C113">
        <v>5010</v>
      </c>
      <c r="D113" t="s">
        <v>48</v>
      </c>
      <c r="E113">
        <v>24840</v>
      </c>
      <c r="F113" t="s">
        <v>323</v>
      </c>
      <c r="H113">
        <v>1</v>
      </c>
    </row>
    <row r="114" spans="1:8" x14ac:dyDescent="0.3">
      <c r="A114">
        <v>158</v>
      </c>
      <c r="B114" s="1">
        <v>46141</v>
      </c>
      <c r="C114">
        <v>1010</v>
      </c>
      <c r="D114" t="s">
        <v>48</v>
      </c>
      <c r="E114">
        <v>40500</v>
      </c>
      <c r="F114" t="s">
        <v>324</v>
      </c>
      <c r="H114">
        <v>1</v>
      </c>
    </row>
    <row r="115" spans="1:8" x14ac:dyDescent="0.3">
      <c r="A115">
        <v>159</v>
      </c>
      <c r="B115" s="1">
        <v>46141</v>
      </c>
      <c r="C115">
        <v>5010</v>
      </c>
      <c r="D115" t="s">
        <v>48</v>
      </c>
      <c r="E115">
        <v>40500</v>
      </c>
      <c r="F115" t="s">
        <v>323</v>
      </c>
      <c r="H115">
        <v>1</v>
      </c>
    </row>
    <row r="116" spans="1:8" x14ac:dyDescent="0.3">
      <c r="A116">
        <v>160</v>
      </c>
      <c r="B116" s="1">
        <v>46144</v>
      </c>
      <c r="C116">
        <v>1010</v>
      </c>
      <c r="D116" t="s">
        <v>49</v>
      </c>
      <c r="E116">
        <v>10000</v>
      </c>
      <c r="F116" t="s">
        <v>324</v>
      </c>
      <c r="H116">
        <v>1</v>
      </c>
    </row>
    <row r="117" spans="1:8" x14ac:dyDescent="0.3">
      <c r="A117">
        <v>161</v>
      </c>
      <c r="B117" s="1">
        <v>46144</v>
      </c>
      <c r="C117">
        <v>5010</v>
      </c>
      <c r="D117" t="s">
        <v>49</v>
      </c>
      <c r="E117">
        <v>10000</v>
      </c>
      <c r="F117" t="s">
        <v>323</v>
      </c>
      <c r="H117">
        <v>1</v>
      </c>
    </row>
    <row r="118" spans="1:8" x14ac:dyDescent="0.3">
      <c r="A118">
        <v>162</v>
      </c>
      <c r="B118" s="1">
        <v>46150</v>
      </c>
      <c r="C118">
        <v>1010</v>
      </c>
      <c r="D118" t="s">
        <v>48</v>
      </c>
      <c r="E118">
        <v>25852</v>
      </c>
      <c r="F118" t="s">
        <v>324</v>
      </c>
      <c r="H118">
        <v>1</v>
      </c>
    </row>
    <row r="119" spans="1:8" x14ac:dyDescent="0.3">
      <c r="A119">
        <v>163</v>
      </c>
      <c r="B119" s="1">
        <v>46150</v>
      </c>
      <c r="C119">
        <v>5010</v>
      </c>
      <c r="D119" t="s">
        <v>48</v>
      </c>
      <c r="E119">
        <v>25852</v>
      </c>
      <c r="F119" t="s">
        <v>323</v>
      </c>
      <c r="H119">
        <v>1</v>
      </c>
    </row>
    <row r="120" spans="1:8" x14ac:dyDescent="0.3">
      <c r="A120">
        <v>164</v>
      </c>
      <c r="B120" s="1">
        <v>46153</v>
      </c>
      <c r="C120">
        <v>1010</v>
      </c>
      <c r="D120" t="s">
        <v>47</v>
      </c>
      <c r="E120">
        <v>17972</v>
      </c>
      <c r="F120" t="s">
        <v>324</v>
      </c>
      <c r="H120">
        <v>1</v>
      </c>
    </row>
    <row r="121" spans="1:8" x14ac:dyDescent="0.3">
      <c r="A121">
        <v>165</v>
      </c>
      <c r="B121" s="1">
        <v>46153</v>
      </c>
      <c r="C121">
        <v>5010</v>
      </c>
      <c r="D121" t="s">
        <v>47</v>
      </c>
      <c r="E121">
        <v>17972</v>
      </c>
      <c r="F121" t="s">
        <v>323</v>
      </c>
      <c r="H121">
        <v>1</v>
      </c>
    </row>
    <row r="122" spans="1:8" x14ac:dyDescent="0.3">
      <c r="A122">
        <v>166</v>
      </c>
      <c r="B122" s="1">
        <v>46160</v>
      </c>
      <c r="C122">
        <v>1010</v>
      </c>
      <c r="D122" t="s">
        <v>123</v>
      </c>
      <c r="E122">
        <v>16000</v>
      </c>
      <c r="F122" t="s">
        <v>324</v>
      </c>
      <c r="H122">
        <v>1</v>
      </c>
    </row>
    <row r="123" spans="1:8" x14ac:dyDescent="0.3">
      <c r="A123">
        <v>167</v>
      </c>
      <c r="B123" s="1">
        <v>46160</v>
      </c>
      <c r="C123">
        <v>5010</v>
      </c>
      <c r="D123" t="s">
        <v>123</v>
      </c>
      <c r="E123">
        <v>16000</v>
      </c>
      <c r="F123" t="s">
        <v>323</v>
      </c>
      <c r="H123">
        <v>1</v>
      </c>
    </row>
    <row r="124" spans="1:8" x14ac:dyDescent="0.3">
      <c r="A124">
        <v>168</v>
      </c>
      <c r="B124" s="1">
        <v>46160</v>
      </c>
      <c r="C124">
        <v>1010</v>
      </c>
      <c r="D124" t="s">
        <v>49</v>
      </c>
      <c r="E124">
        <v>9680</v>
      </c>
      <c r="F124" t="s">
        <v>324</v>
      </c>
      <c r="H124">
        <v>1</v>
      </c>
    </row>
    <row r="125" spans="1:8" x14ac:dyDescent="0.3">
      <c r="A125">
        <v>169</v>
      </c>
      <c r="B125" s="1">
        <v>46160</v>
      </c>
      <c r="C125">
        <v>5010</v>
      </c>
      <c r="D125" t="s">
        <v>49</v>
      </c>
      <c r="E125">
        <v>9680</v>
      </c>
      <c r="F125" t="s">
        <v>323</v>
      </c>
      <c r="H125">
        <v>1</v>
      </c>
    </row>
    <row r="126" spans="1:8" x14ac:dyDescent="0.3">
      <c r="A126">
        <v>170</v>
      </c>
      <c r="B126" s="1">
        <v>46167</v>
      </c>
      <c r="C126">
        <v>1010</v>
      </c>
      <c r="D126" t="s">
        <v>48</v>
      </c>
      <c r="E126">
        <v>21340</v>
      </c>
      <c r="F126" t="s">
        <v>324</v>
      </c>
      <c r="H126">
        <v>1</v>
      </c>
    </row>
    <row r="127" spans="1:8" x14ac:dyDescent="0.3">
      <c r="A127">
        <v>171</v>
      </c>
      <c r="B127" s="1">
        <v>46167</v>
      </c>
      <c r="C127">
        <v>5010</v>
      </c>
      <c r="D127" t="s">
        <v>48</v>
      </c>
      <c r="E127">
        <v>21340</v>
      </c>
      <c r="F127" t="s">
        <v>323</v>
      </c>
      <c r="H127">
        <v>1</v>
      </c>
    </row>
    <row r="128" spans="1:8" x14ac:dyDescent="0.3">
      <c r="A128">
        <v>172</v>
      </c>
      <c r="B128" s="1">
        <v>46202</v>
      </c>
      <c r="C128">
        <v>1010</v>
      </c>
      <c r="D128" t="s">
        <v>48</v>
      </c>
      <c r="E128">
        <v>20485</v>
      </c>
      <c r="F128" t="s">
        <v>324</v>
      </c>
      <c r="H128">
        <v>1</v>
      </c>
    </row>
    <row r="129" spans="1:8" x14ac:dyDescent="0.3">
      <c r="A129">
        <v>173</v>
      </c>
      <c r="B129" s="1">
        <v>46202</v>
      </c>
      <c r="C129">
        <v>5010</v>
      </c>
      <c r="D129" t="s">
        <v>48</v>
      </c>
      <c r="E129">
        <v>20485</v>
      </c>
      <c r="F129" t="s">
        <v>323</v>
      </c>
      <c r="H129">
        <v>1</v>
      </c>
    </row>
    <row r="130" spans="1:8" x14ac:dyDescent="0.3">
      <c r="A130">
        <v>174</v>
      </c>
      <c r="B130" s="1">
        <v>46205</v>
      </c>
      <c r="C130">
        <v>1010</v>
      </c>
      <c r="D130" t="s">
        <v>229</v>
      </c>
      <c r="E130">
        <v>21510</v>
      </c>
      <c r="F130" t="s">
        <v>324</v>
      </c>
      <c r="H130">
        <v>1</v>
      </c>
    </row>
    <row r="131" spans="1:8" x14ac:dyDescent="0.3">
      <c r="A131">
        <v>175</v>
      </c>
      <c r="B131" s="1">
        <v>46205</v>
      </c>
      <c r="C131">
        <v>5010</v>
      </c>
      <c r="D131" t="s">
        <v>229</v>
      </c>
      <c r="E131">
        <v>21510</v>
      </c>
      <c r="F131" t="s">
        <v>323</v>
      </c>
      <c r="H131">
        <v>1</v>
      </c>
    </row>
    <row r="132" spans="1:8" x14ac:dyDescent="0.3">
      <c r="A132">
        <v>176</v>
      </c>
      <c r="B132" s="1">
        <v>46219</v>
      </c>
      <c r="C132">
        <v>1010</v>
      </c>
      <c r="D132" t="s">
        <v>48</v>
      </c>
      <c r="E132">
        <v>20942</v>
      </c>
      <c r="F132" t="s">
        <v>324</v>
      </c>
      <c r="H132">
        <v>1</v>
      </c>
    </row>
    <row r="133" spans="1:8" x14ac:dyDescent="0.3">
      <c r="A133">
        <v>177</v>
      </c>
      <c r="B133" s="1">
        <v>46219</v>
      </c>
      <c r="C133">
        <v>5010</v>
      </c>
      <c r="D133" t="s">
        <v>48</v>
      </c>
      <c r="E133">
        <v>20942</v>
      </c>
      <c r="F133" t="s">
        <v>323</v>
      </c>
      <c r="H133">
        <v>1</v>
      </c>
    </row>
    <row r="134" spans="1:8" x14ac:dyDescent="0.3">
      <c r="A134">
        <v>178</v>
      </c>
      <c r="B134" s="1">
        <v>46221</v>
      </c>
      <c r="C134">
        <v>1010</v>
      </c>
      <c r="D134" t="s">
        <v>48</v>
      </c>
      <c r="E134">
        <v>21952</v>
      </c>
      <c r="F134" t="s">
        <v>324</v>
      </c>
      <c r="H134">
        <v>1</v>
      </c>
    </row>
    <row r="135" spans="1:8" x14ac:dyDescent="0.3">
      <c r="A135">
        <v>179</v>
      </c>
      <c r="B135" s="1">
        <v>46221</v>
      </c>
      <c r="C135">
        <v>5010</v>
      </c>
      <c r="D135" t="s">
        <v>48</v>
      </c>
      <c r="E135">
        <v>21952</v>
      </c>
      <c r="F135" t="s">
        <v>323</v>
      </c>
      <c r="H135">
        <v>1</v>
      </c>
    </row>
    <row r="136" spans="1:8" x14ac:dyDescent="0.3">
      <c r="A136">
        <v>180</v>
      </c>
      <c r="B136" s="1">
        <v>46229</v>
      </c>
      <c r="C136">
        <v>1010</v>
      </c>
      <c r="D136" t="s">
        <v>123</v>
      </c>
      <c r="E136">
        <v>14800</v>
      </c>
      <c r="F136" t="s">
        <v>324</v>
      </c>
      <c r="H136">
        <v>1</v>
      </c>
    </row>
    <row r="137" spans="1:8" x14ac:dyDescent="0.3">
      <c r="A137">
        <v>181</v>
      </c>
      <c r="B137" s="1">
        <v>46229</v>
      </c>
      <c r="C137">
        <v>5010</v>
      </c>
      <c r="D137" t="s">
        <v>123</v>
      </c>
      <c r="E137">
        <v>14800</v>
      </c>
      <c r="F137" t="s">
        <v>323</v>
      </c>
      <c r="H137">
        <v>1</v>
      </c>
    </row>
    <row r="138" spans="1:8" x14ac:dyDescent="0.3">
      <c r="A138">
        <v>182</v>
      </c>
      <c r="B138" s="1">
        <v>46233</v>
      </c>
      <c r="C138">
        <v>1010</v>
      </c>
      <c r="D138" t="s">
        <v>232</v>
      </c>
      <c r="E138">
        <v>7000</v>
      </c>
      <c r="F138" t="s">
        <v>324</v>
      </c>
      <c r="H138">
        <v>1</v>
      </c>
    </row>
    <row r="139" spans="1:8" x14ac:dyDescent="0.3">
      <c r="A139">
        <v>183</v>
      </c>
      <c r="B139" s="1">
        <v>46233</v>
      </c>
      <c r="C139">
        <v>5030</v>
      </c>
      <c r="D139" t="s">
        <v>232</v>
      </c>
      <c r="E139">
        <v>7000</v>
      </c>
      <c r="F139" t="s">
        <v>323</v>
      </c>
      <c r="H139">
        <v>1</v>
      </c>
    </row>
    <row r="140" spans="1:8" x14ac:dyDescent="0.3">
      <c r="A140">
        <v>184</v>
      </c>
      <c r="B140" s="1">
        <v>46231</v>
      </c>
      <c r="C140">
        <v>1010</v>
      </c>
      <c r="D140" t="s">
        <v>230</v>
      </c>
      <c r="E140">
        <v>7500</v>
      </c>
      <c r="F140" t="s">
        <v>324</v>
      </c>
      <c r="H140">
        <v>1</v>
      </c>
    </row>
    <row r="141" spans="1:8" x14ac:dyDescent="0.3">
      <c r="A141">
        <v>185</v>
      </c>
      <c r="B141" s="1">
        <v>46231</v>
      </c>
      <c r="C141">
        <v>5030</v>
      </c>
      <c r="D141" t="s">
        <v>230</v>
      </c>
      <c r="E141">
        <v>7500</v>
      </c>
      <c r="F141" t="s">
        <v>323</v>
      </c>
      <c r="H141">
        <v>1</v>
      </c>
    </row>
    <row r="142" spans="1:8" x14ac:dyDescent="0.3">
      <c r="A142">
        <v>186</v>
      </c>
      <c r="B142" s="1">
        <v>46027</v>
      </c>
      <c r="C142">
        <v>1010</v>
      </c>
      <c r="D142" t="s">
        <v>47</v>
      </c>
      <c r="E142">
        <v>18525</v>
      </c>
      <c r="F142" t="s">
        <v>324</v>
      </c>
      <c r="H142">
        <v>1</v>
      </c>
    </row>
    <row r="143" spans="1:8" x14ac:dyDescent="0.3">
      <c r="A143">
        <v>187</v>
      </c>
      <c r="B143" s="1">
        <v>46027</v>
      </c>
      <c r="C143">
        <v>5010</v>
      </c>
      <c r="D143" t="s">
        <v>47</v>
      </c>
      <c r="E143">
        <v>18525</v>
      </c>
      <c r="F143" t="s">
        <v>323</v>
      </c>
      <c r="H143">
        <v>1</v>
      </c>
    </row>
    <row r="144" spans="1:8" x14ac:dyDescent="0.3">
      <c r="A144">
        <v>188</v>
      </c>
      <c r="B144" s="1">
        <v>46234</v>
      </c>
      <c r="C144">
        <v>1010</v>
      </c>
      <c r="D144" t="s">
        <v>49</v>
      </c>
      <c r="E144">
        <v>9146</v>
      </c>
      <c r="F144" t="s">
        <v>324</v>
      </c>
      <c r="H144">
        <v>1</v>
      </c>
    </row>
    <row r="145" spans="1:8" x14ac:dyDescent="0.3">
      <c r="A145">
        <v>189</v>
      </c>
      <c r="B145" s="1">
        <v>46234</v>
      </c>
      <c r="C145">
        <v>5010</v>
      </c>
      <c r="D145" t="s">
        <v>49</v>
      </c>
      <c r="E145">
        <v>9146</v>
      </c>
      <c r="F145" t="s">
        <v>323</v>
      </c>
      <c r="H145">
        <v>1</v>
      </c>
    </row>
    <row r="146" spans="1:8" x14ac:dyDescent="0.3">
      <c r="A146">
        <v>190</v>
      </c>
      <c r="B146" s="1">
        <v>46239</v>
      </c>
      <c r="C146">
        <v>1010</v>
      </c>
      <c r="D146" t="s">
        <v>229</v>
      </c>
      <c r="E146">
        <v>23000</v>
      </c>
      <c r="F146" t="s">
        <v>324</v>
      </c>
      <c r="H146">
        <v>1</v>
      </c>
    </row>
    <row r="147" spans="1:8" x14ac:dyDescent="0.3">
      <c r="A147">
        <v>191</v>
      </c>
      <c r="B147" s="1">
        <v>46239</v>
      </c>
      <c r="C147">
        <v>5010</v>
      </c>
      <c r="D147" t="s">
        <v>229</v>
      </c>
      <c r="E147">
        <v>23000</v>
      </c>
      <c r="F147" t="s">
        <v>323</v>
      </c>
      <c r="H147">
        <v>1</v>
      </c>
    </row>
    <row r="148" spans="1:8" x14ac:dyDescent="0.3">
      <c r="A148">
        <v>212</v>
      </c>
      <c r="B148" s="1">
        <v>46169</v>
      </c>
      <c r="C148">
        <v>1010</v>
      </c>
      <c r="D148" t="s">
        <v>193</v>
      </c>
      <c r="E148">
        <v>15392</v>
      </c>
      <c r="F148" t="s">
        <v>323</v>
      </c>
      <c r="G148">
        <v>28</v>
      </c>
      <c r="H148">
        <v>1</v>
      </c>
    </row>
    <row r="149" spans="1:8" x14ac:dyDescent="0.3">
      <c r="A149">
        <v>213</v>
      </c>
      <c r="B149" s="1">
        <v>46169</v>
      </c>
      <c r="C149">
        <v>4010</v>
      </c>
      <c r="D149" t="s">
        <v>192</v>
      </c>
      <c r="E149">
        <v>15392</v>
      </c>
      <c r="F149" t="s">
        <v>324</v>
      </c>
      <c r="G149">
        <v>28</v>
      </c>
      <c r="H149">
        <v>1</v>
      </c>
    </row>
    <row r="150" spans="1:8" x14ac:dyDescent="0.3">
      <c r="A150">
        <v>214</v>
      </c>
      <c r="B150" s="1">
        <v>46116</v>
      </c>
      <c r="C150">
        <v>5010</v>
      </c>
      <c r="D150" t="s">
        <v>71</v>
      </c>
      <c r="E150">
        <v>1900.92</v>
      </c>
      <c r="F150" t="s">
        <v>323</v>
      </c>
      <c r="G150">
        <v>99</v>
      </c>
      <c r="H150">
        <v>1</v>
      </c>
    </row>
    <row r="151" spans="1:8" x14ac:dyDescent="0.3">
      <c r="A151">
        <v>215</v>
      </c>
      <c r="B151" s="1">
        <v>46116</v>
      </c>
      <c r="C151">
        <v>1010</v>
      </c>
      <c r="D151" t="s">
        <v>72</v>
      </c>
      <c r="E151">
        <v>1900.92</v>
      </c>
      <c r="F151" t="s">
        <v>324</v>
      </c>
      <c r="G151">
        <v>99</v>
      </c>
      <c r="H151">
        <v>1</v>
      </c>
    </row>
    <row r="152" spans="1:8" x14ac:dyDescent="0.3">
      <c r="A152">
        <v>216</v>
      </c>
      <c r="B152" s="1">
        <v>46116</v>
      </c>
      <c r="C152">
        <v>5010</v>
      </c>
      <c r="D152" t="s">
        <v>73</v>
      </c>
      <c r="E152">
        <v>1900.92</v>
      </c>
      <c r="F152" t="s">
        <v>323</v>
      </c>
      <c r="G152">
        <v>46</v>
      </c>
      <c r="H152">
        <v>1</v>
      </c>
    </row>
    <row r="153" spans="1:8" x14ac:dyDescent="0.3">
      <c r="A153">
        <v>217</v>
      </c>
      <c r="B153" s="1">
        <v>46116</v>
      </c>
      <c r="C153">
        <v>1010</v>
      </c>
      <c r="D153" t="s">
        <v>74</v>
      </c>
      <c r="E153">
        <v>1900.92</v>
      </c>
      <c r="F153" t="s">
        <v>324</v>
      </c>
      <c r="G153">
        <v>46</v>
      </c>
      <c r="H153">
        <v>1</v>
      </c>
    </row>
    <row r="154" spans="1:8" x14ac:dyDescent="0.3">
      <c r="A154">
        <v>218</v>
      </c>
      <c r="B154" s="1">
        <v>46116</v>
      </c>
      <c r="C154">
        <v>5010</v>
      </c>
      <c r="D154" t="s">
        <v>75</v>
      </c>
      <c r="E154">
        <v>1900.92</v>
      </c>
      <c r="F154" t="s">
        <v>323</v>
      </c>
      <c r="G154">
        <v>91</v>
      </c>
      <c r="H154">
        <v>1</v>
      </c>
    </row>
    <row r="155" spans="1:8" x14ac:dyDescent="0.3">
      <c r="A155">
        <v>219</v>
      </c>
      <c r="B155" s="1">
        <v>46116</v>
      </c>
      <c r="C155">
        <v>1010</v>
      </c>
      <c r="D155" t="s">
        <v>76</v>
      </c>
      <c r="E155">
        <v>1900.92</v>
      </c>
      <c r="F155" t="s">
        <v>324</v>
      </c>
      <c r="G155">
        <v>91</v>
      </c>
      <c r="H155">
        <v>1</v>
      </c>
    </row>
    <row r="156" spans="1:8" x14ac:dyDescent="0.3">
      <c r="A156">
        <v>220</v>
      </c>
      <c r="B156" s="1">
        <v>46116</v>
      </c>
      <c r="C156">
        <v>5010</v>
      </c>
      <c r="D156" t="s">
        <v>77</v>
      </c>
      <c r="E156">
        <v>1900.92</v>
      </c>
      <c r="F156" t="s">
        <v>323</v>
      </c>
      <c r="G156">
        <v>28</v>
      </c>
      <c r="H156">
        <v>1</v>
      </c>
    </row>
    <row r="157" spans="1:8" x14ac:dyDescent="0.3">
      <c r="A157">
        <v>221</v>
      </c>
      <c r="B157" s="1">
        <v>46116</v>
      </c>
      <c r="C157">
        <v>1010</v>
      </c>
      <c r="D157" t="s">
        <v>78</v>
      </c>
      <c r="E157">
        <v>1900.92</v>
      </c>
      <c r="F157" t="s">
        <v>324</v>
      </c>
      <c r="G157">
        <v>28</v>
      </c>
      <c r="H157">
        <v>1</v>
      </c>
    </row>
    <row r="158" spans="1:8" x14ac:dyDescent="0.3">
      <c r="A158">
        <v>222</v>
      </c>
      <c r="B158" s="1">
        <v>46116</v>
      </c>
      <c r="C158">
        <v>5010</v>
      </c>
      <c r="D158" t="s">
        <v>79</v>
      </c>
      <c r="E158">
        <v>1900.92</v>
      </c>
      <c r="F158" t="s">
        <v>323</v>
      </c>
      <c r="G158">
        <v>66</v>
      </c>
      <c r="H158">
        <v>1</v>
      </c>
    </row>
    <row r="159" spans="1:8" x14ac:dyDescent="0.3">
      <c r="A159">
        <v>223</v>
      </c>
      <c r="B159" s="1">
        <v>46116</v>
      </c>
      <c r="C159">
        <v>1010</v>
      </c>
      <c r="D159" t="s">
        <v>80</v>
      </c>
      <c r="E159">
        <v>1900.92</v>
      </c>
      <c r="F159" t="s">
        <v>324</v>
      </c>
      <c r="G159">
        <v>66</v>
      </c>
      <c r="H159">
        <v>1</v>
      </c>
    </row>
    <row r="160" spans="1:8" x14ac:dyDescent="0.3">
      <c r="A160">
        <v>224</v>
      </c>
      <c r="B160" s="1">
        <v>46116</v>
      </c>
      <c r="C160">
        <v>5010</v>
      </c>
      <c r="D160" t="s">
        <v>81</v>
      </c>
      <c r="E160">
        <v>1900.92</v>
      </c>
      <c r="F160" t="s">
        <v>323</v>
      </c>
      <c r="G160">
        <v>59</v>
      </c>
      <c r="H160">
        <v>1</v>
      </c>
    </row>
    <row r="161" spans="1:8" x14ac:dyDescent="0.3">
      <c r="A161">
        <v>225</v>
      </c>
      <c r="B161" s="1">
        <v>46116</v>
      </c>
      <c r="C161">
        <v>1010</v>
      </c>
      <c r="D161" t="s">
        <v>82</v>
      </c>
      <c r="E161">
        <v>1900.92</v>
      </c>
      <c r="F161" t="s">
        <v>324</v>
      </c>
      <c r="G161">
        <v>59</v>
      </c>
      <c r="H161">
        <v>1</v>
      </c>
    </row>
    <row r="162" spans="1:8" x14ac:dyDescent="0.3">
      <c r="A162">
        <v>226</v>
      </c>
      <c r="B162" s="1">
        <v>46116</v>
      </c>
      <c r="C162">
        <v>5010</v>
      </c>
      <c r="D162" t="s">
        <v>83</v>
      </c>
      <c r="E162">
        <v>1900.92</v>
      </c>
      <c r="F162" t="s">
        <v>323</v>
      </c>
      <c r="G162">
        <v>178</v>
      </c>
      <c r="H162">
        <v>1</v>
      </c>
    </row>
    <row r="163" spans="1:8" x14ac:dyDescent="0.3">
      <c r="A163">
        <v>227</v>
      </c>
      <c r="B163" s="1">
        <v>46116</v>
      </c>
      <c r="C163">
        <v>1010</v>
      </c>
      <c r="D163" t="s">
        <v>84</v>
      </c>
      <c r="E163">
        <v>1900.92</v>
      </c>
      <c r="F163" t="s">
        <v>324</v>
      </c>
      <c r="G163">
        <v>178</v>
      </c>
      <c r="H163">
        <v>1</v>
      </c>
    </row>
    <row r="164" spans="1:8" x14ac:dyDescent="0.3">
      <c r="A164">
        <v>228</v>
      </c>
      <c r="B164" s="1">
        <v>46116</v>
      </c>
      <c r="C164">
        <v>5010</v>
      </c>
      <c r="D164" t="s">
        <v>85</v>
      </c>
      <c r="E164">
        <v>1900.92</v>
      </c>
      <c r="F164" t="s">
        <v>323</v>
      </c>
      <c r="G164">
        <v>199</v>
      </c>
      <c r="H164">
        <v>1</v>
      </c>
    </row>
    <row r="165" spans="1:8" x14ac:dyDescent="0.3">
      <c r="A165">
        <v>229</v>
      </c>
      <c r="B165" s="1">
        <v>46116</v>
      </c>
      <c r="C165">
        <v>1010</v>
      </c>
      <c r="D165" t="s">
        <v>86</v>
      </c>
      <c r="E165">
        <v>1900.92</v>
      </c>
      <c r="F165" t="s">
        <v>324</v>
      </c>
      <c r="G165">
        <v>199</v>
      </c>
      <c r="H165">
        <v>1</v>
      </c>
    </row>
    <row r="166" spans="1:8" x14ac:dyDescent="0.3">
      <c r="A166">
        <v>230</v>
      </c>
      <c r="B166" s="1">
        <v>46116</v>
      </c>
      <c r="C166">
        <v>5010</v>
      </c>
      <c r="D166" t="s">
        <v>87</v>
      </c>
      <c r="E166">
        <v>1900.92</v>
      </c>
      <c r="F166" t="s">
        <v>323</v>
      </c>
      <c r="G166">
        <v>25</v>
      </c>
      <c r="H166">
        <v>1</v>
      </c>
    </row>
    <row r="167" spans="1:8" x14ac:dyDescent="0.3">
      <c r="A167">
        <v>231</v>
      </c>
      <c r="B167" s="1">
        <v>46116</v>
      </c>
      <c r="C167">
        <v>1010</v>
      </c>
      <c r="D167" t="s">
        <v>88</v>
      </c>
      <c r="E167">
        <v>1900.92</v>
      </c>
      <c r="F167" t="s">
        <v>324</v>
      </c>
      <c r="G167">
        <v>25</v>
      </c>
      <c r="H167">
        <v>1</v>
      </c>
    </row>
    <row r="168" spans="1:8" x14ac:dyDescent="0.3">
      <c r="A168">
        <v>232</v>
      </c>
      <c r="B168" s="1">
        <v>46116</v>
      </c>
      <c r="C168">
        <v>5010</v>
      </c>
      <c r="D168" t="s">
        <v>89</v>
      </c>
      <c r="E168">
        <v>1900.92</v>
      </c>
      <c r="F168" t="s">
        <v>323</v>
      </c>
      <c r="G168">
        <v>344</v>
      </c>
      <c r="H168">
        <v>1</v>
      </c>
    </row>
    <row r="169" spans="1:8" x14ac:dyDescent="0.3">
      <c r="A169">
        <v>233</v>
      </c>
      <c r="B169" s="1">
        <v>46116</v>
      </c>
      <c r="C169">
        <v>1010</v>
      </c>
      <c r="D169" t="s">
        <v>90</v>
      </c>
      <c r="E169">
        <v>1900.92</v>
      </c>
      <c r="F169" t="s">
        <v>324</v>
      </c>
      <c r="G169">
        <v>344</v>
      </c>
      <c r="H169">
        <v>1</v>
      </c>
    </row>
    <row r="170" spans="1:8" x14ac:dyDescent="0.3">
      <c r="A170">
        <v>234</v>
      </c>
      <c r="B170" s="1">
        <v>46116</v>
      </c>
      <c r="C170">
        <v>5010</v>
      </c>
      <c r="D170" t="s">
        <v>91</v>
      </c>
      <c r="E170">
        <v>1900.92</v>
      </c>
      <c r="F170" t="s">
        <v>323</v>
      </c>
      <c r="G170">
        <v>24</v>
      </c>
      <c r="H170">
        <v>1</v>
      </c>
    </row>
    <row r="171" spans="1:8" x14ac:dyDescent="0.3">
      <c r="A171">
        <v>235</v>
      </c>
      <c r="B171" s="1">
        <v>46116</v>
      </c>
      <c r="C171">
        <v>1010</v>
      </c>
      <c r="D171" t="s">
        <v>92</v>
      </c>
      <c r="E171">
        <v>1900.92</v>
      </c>
      <c r="F171" t="s">
        <v>324</v>
      </c>
      <c r="G171">
        <v>24</v>
      </c>
      <c r="H171">
        <v>1</v>
      </c>
    </row>
    <row r="172" spans="1:8" x14ac:dyDescent="0.3">
      <c r="A172">
        <v>236</v>
      </c>
      <c r="B172" s="1">
        <v>46116</v>
      </c>
      <c r="C172">
        <v>5010</v>
      </c>
      <c r="D172" t="s">
        <v>93</v>
      </c>
      <c r="E172">
        <v>1900.92</v>
      </c>
      <c r="F172" t="s">
        <v>323</v>
      </c>
      <c r="G172">
        <v>169</v>
      </c>
      <c r="H172">
        <v>1</v>
      </c>
    </row>
    <row r="173" spans="1:8" x14ac:dyDescent="0.3">
      <c r="A173">
        <v>237</v>
      </c>
      <c r="B173" s="1">
        <v>46116</v>
      </c>
      <c r="C173">
        <v>1010</v>
      </c>
      <c r="D173" t="s">
        <v>94</v>
      </c>
      <c r="E173">
        <v>1900.92</v>
      </c>
      <c r="F173" t="s">
        <v>324</v>
      </c>
      <c r="G173">
        <v>169</v>
      </c>
      <c r="H173">
        <v>1</v>
      </c>
    </row>
    <row r="174" spans="1:8" x14ac:dyDescent="0.3">
      <c r="A174">
        <v>238</v>
      </c>
      <c r="B174" s="1">
        <v>46116</v>
      </c>
      <c r="C174">
        <v>5010</v>
      </c>
      <c r="D174" t="s">
        <v>95</v>
      </c>
      <c r="E174">
        <v>1900.92</v>
      </c>
      <c r="F174" t="s">
        <v>323</v>
      </c>
      <c r="G174">
        <v>23</v>
      </c>
      <c r="H174">
        <v>1</v>
      </c>
    </row>
    <row r="175" spans="1:8" x14ac:dyDescent="0.3">
      <c r="A175">
        <v>239</v>
      </c>
      <c r="B175" s="1">
        <v>46116</v>
      </c>
      <c r="C175">
        <v>1010</v>
      </c>
      <c r="D175" t="s">
        <v>96</v>
      </c>
      <c r="E175">
        <v>1900.92</v>
      </c>
      <c r="F175" t="s">
        <v>324</v>
      </c>
      <c r="G175">
        <v>23</v>
      </c>
      <c r="H175">
        <v>1</v>
      </c>
    </row>
    <row r="176" spans="1:8" x14ac:dyDescent="0.3">
      <c r="A176">
        <v>240</v>
      </c>
      <c r="B176" s="1">
        <v>46116</v>
      </c>
      <c r="C176">
        <v>5010</v>
      </c>
      <c r="D176" t="s">
        <v>97</v>
      </c>
      <c r="E176">
        <v>1900.92</v>
      </c>
      <c r="F176" t="s">
        <v>323</v>
      </c>
      <c r="G176">
        <v>361</v>
      </c>
      <c r="H176">
        <v>1</v>
      </c>
    </row>
    <row r="177" spans="1:8" x14ac:dyDescent="0.3">
      <c r="A177">
        <v>241</v>
      </c>
      <c r="B177" s="1">
        <v>46116</v>
      </c>
      <c r="C177">
        <v>1010</v>
      </c>
      <c r="D177" t="s">
        <v>98</v>
      </c>
      <c r="E177">
        <v>1900.92</v>
      </c>
      <c r="F177" t="s">
        <v>324</v>
      </c>
      <c r="G177">
        <v>361</v>
      </c>
      <c r="H177">
        <v>1</v>
      </c>
    </row>
    <row r="178" spans="1:8" x14ac:dyDescent="0.3">
      <c r="A178">
        <v>242</v>
      </c>
      <c r="B178" s="1">
        <v>46116</v>
      </c>
      <c r="C178">
        <v>5010</v>
      </c>
      <c r="D178" t="s">
        <v>99</v>
      </c>
      <c r="E178">
        <v>1900.92</v>
      </c>
      <c r="F178" t="s">
        <v>323</v>
      </c>
      <c r="G178">
        <v>114</v>
      </c>
      <c r="H178">
        <v>1</v>
      </c>
    </row>
    <row r="179" spans="1:8" x14ac:dyDescent="0.3">
      <c r="A179">
        <v>243</v>
      </c>
      <c r="B179" s="1">
        <v>46116</v>
      </c>
      <c r="C179">
        <v>1010</v>
      </c>
      <c r="D179" t="s">
        <v>100</v>
      </c>
      <c r="E179">
        <v>1900.92</v>
      </c>
      <c r="F179" t="s">
        <v>324</v>
      </c>
      <c r="G179">
        <v>114</v>
      </c>
      <c r="H179">
        <v>1</v>
      </c>
    </row>
    <row r="180" spans="1:8" x14ac:dyDescent="0.3">
      <c r="A180">
        <v>244</v>
      </c>
      <c r="B180" s="1">
        <v>46116</v>
      </c>
      <c r="C180">
        <v>5010</v>
      </c>
      <c r="D180" t="s">
        <v>101</v>
      </c>
      <c r="E180">
        <v>1900.92</v>
      </c>
      <c r="F180" t="s">
        <v>323</v>
      </c>
      <c r="G180">
        <v>52</v>
      </c>
      <c r="H180">
        <v>1</v>
      </c>
    </row>
    <row r="181" spans="1:8" x14ac:dyDescent="0.3">
      <c r="A181">
        <v>245</v>
      </c>
      <c r="B181" s="1">
        <v>46116</v>
      </c>
      <c r="C181">
        <v>1010</v>
      </c>
      <c r="D181" t="s">
        <v>102</v>
      </c>
      <c r="E181">
        <v>1900.92</v>
      </c>
      <c r="F181" t="s">
        <v>324</v>
      </c>
      <c r="G181">
        <v>52</v>
      </c>
      <c r="H181">
        <v>1</v>
      </c>
    </row>
    <row r="182" spans="1:8" x14ac:dyDescent="0.3">
      <c r="A182">
        <v>246</v>
      </c>
      <c r="B182" s="1">
        <v>46116</v>
      </c>
      <c r="C182">
        <v>5010</v>
      </c>
      <c r="D182" t="s">
        <v>103</v>
      </c>
      <c r="E182">
        <v>1900.92</v>
      </c>
      <c r="F182" t="s">
        <v>323</v>
      </c>
      <c r="G182">
        <v>50</v>
      </c>
      <c r="H182">
        <v>1</v>
      </c>
    </row>
    <row r="183" spans="1:8" x14ac:dyDescent="0.3">
      <c r="A183">
        <v>247</v>
      </c>
      <c r="B183" s="1">
        <v>46116</v>
      </c>
      <c r="C183">
        <v>1010</v>
      </c>
      <c r="D183" t="s">
        <v>104</v>
      </c>
      <c r="E183">
        <v>1900.92</v>
      </c>
      <c r="F183" t="s">
        <v>324</v>
      </c>
      <c r="G183">
        <v>50</v>
      </c>
      <c r="H183">
        <v>1</v>
      </c>
    </row>
    <row r="184" spans="1:8" x14ac:dyDescent="0.3">
      <c r="A184">
        <v>248</v>
      </c>
      <c r="B184" s="1">
        <v>46116</v>
      </c>
      <c r="C184">
        <v>5010</v>
      </c>
      <c r="D184" t="s">
        <v>105</v>
      </c>
      <c r="E184">
        <v>1900.92</v>
      </c>
      <c r="F184" t="s">
        <v>323</v>
      </c>
      <c r="G184">
        <v>49</v>
      </c>
      <c r="H184">
        <v>1</v>
      </c>
    </row>
    <row r="185" spans="1:8" x14ac:dyDescent="0.3">
      <c r="A185">
        <v>249</v>
      </c>
      <c r="B185" s="1">
        <v>46116</v>
      </c>
      <c r="C185">
        <v>1010</v>
      </c>
      <c r="D185" t="s">
        <v>106</v>
      </c>
      <c r="E185">
        <v>1900.92</v>
      </c>
      <c r="F185" t="s">
        <v>324</v>
      </c>
      <c r="G185">
        <v>49</v>
      </c>
      <c r="H185">
        <v>1</v>
      </c>
    </row>
    <row r="186" spans="1:8" x14ac:dyDescent="0.3">
      <c r="A186">
        <v>250</v>
      </c>
      <c r="B186" s="1">
        <v>46116</v>
      </c>
      <c r="C186">
        <v>5010</v>
      </c>
      <c r="D186" t="s">
        <v>107</v>
      </c>
      <c r="E186">
        <v>1900.92</v>
      </c>
      <c r="F186" t="s">
        <v>323</v>
      </c>
      <c r="G186">
        <v>173</v>
      </c>
      <c r="H186">
        <v>1</v>
      </c>
    </row>
    <row r="187" spans="1:8" x14ac:dyDescent="0.3">
      <c r="A187">
        <v>251</v>
      </c>
      <c r="B187" s="1">
        <v>46116</v>
      </c>
      <c r="C187">
        <v>1010</v>
      </c>
      <c r="D187" t="s">
        <v>108</v>
      </c>
      <c r="E187">
        <v>1900.92</v>
      </c>
      <c r="F187" t="s">
        <v>324</v>
      </c>
      <c r="G187">
        <v>173</v>
      </c>
      <c r="H187">
        <v>1</v>
      </c>
    </row>
    <row r="188" spans="1:8" x14ac:dyDescent="0.3">
      <c r="A188">
        <v>252</v>
      </c>
      <c r="B188" s="1">
        <v>46116</v>
      </c>
      <c r="C188">
        <v>5010</v>
      </c>
      <c r="D188" t="s">
        <v>109</v>
      </c>
      <c r="E188">
        <v>1900.92</v>
      </c>
      <c r="F188" t="s">
        <v>323</v>
      </c>
      <c r="G188">
        <v>47</v>
      </c>
      <c r="H188">
        <v>1</v>
      </c>
    </row>
    <row r="189" spans="1:8" x14ac:dyDescent="0.3">
      <c r="A189">
        <v>253</v>
      </c>
      <c r="B189" s="1">
        <v>46116</v>
      </c>
      <c r="C189">
        <v>1010</v>
      </c>
      <c r="D189" t="s">
        <v>110</v>
      </c>
      <c r="E189">
        <v>1900.92</v>
      </c>
      <c r="F189" t="s">
        <v>324</v>
      </c>
      <c r="G189">
        <v>47</v>
      </c>
      <c r="H189">
        <v>1</v>
      </c>
    </row>
    <row r="190" spans="1:8" x14ac:dyDescent="0.3">
      <c r="A190">
        <v>254</v>
      </c>
      <c r="B190" s="1">
        <v>46116</v>
      </c>
      <c r="C190">
        <v>5010</v>
      </c>
      <c r="D190" t="s">
        <v>111</v>
      </c>
      <c r="E190">
        <v>1900.92</v>
      </c>
      <c r="F190" t="s">
        <v>323</v>
      </c>
      <c r="G190">
        <v>364</v>
      </c>
      <c r="H190">
        <v>1</v>
      </c>
    </row>
    <row r="191" spans="1:8" x14ac:dyDescent="0.3">
      <c r="A191">
        <v>255</v>
      </c>
      <c r="B191" s="1">
        <v>46116</v>
      </c>
      <c r="C191">
        <v>1010</v>
      </c>
      <c r="D191" t="s">
        <v>112</v>
      </c>
      <c r="E191">
        <v>1900.92</v>
      </c>
      <c r="F191" t="s">
        <v>324</v>
      </c>
      <c r="G191">
        <v>364</v>
      </c>
      <c r="H191">
        <v>1</v>
      </c>
    </row>
    <row r="192" spans="1:8" x14ac:dyDescent="0.3">
      <c r="A192">
        <v>256</v>
      </c>
      <c r="B192" s="1">
        <v>46116</v>
      </c>
      <c r="C192">
        <v>5010</v>
      </c>
      <c r="D192" t="s">
        <v>113</v>
      </c>
      <c r="E192">
        <v>1900.92</v>
      </c>
      <c r="F192" t="s">
        <v>323</v>
      </c>
      <c r="G192">
        <v>22</v>
      </c>
      <c r="H192">
        <v>1</v>
      </c>
    </row>
    <row r="193" spans="1:8" x14ac:dyDescent="0.3">
      <c r="A193">
        <v>257</v>
      </c>
      <c r="B193" s="1">
        <v>46116</v>
      </c>
      <c r="C193">
        <v>1010</v>
      </c>
      <c r="D193" t="s">
        <v>114</v>
      </c>
      <c r="E193">
        <v>1900.92</v>
      </c>
      <c r="F193" t="s">
        <v>324</v>
      </c>
      <c r="G193">
        <v>22</v>
      </c>
      <c r="H193">
        <v>1</v>
      </c>
    </row>
    <row r="194" spans="1:8" x14ac:dyDescent="0.3">
      <c r="A194">
        <v>258</v>
      </c>
      <c r="B194" s="1">
        <v>46116</v>
      </c>
      <c r="C194">
        <v>5010</v>
      </c>
      <c r="D194" t="s">
        <v>115</v>
      </c>
      <c r="E194">
        <v>1900.92</v>
      </c>
      <c r="F194" t="s">
        <v>323</v>
      </c>
      <c r="G194">
        <v>363</v>
      </c>
      <c r="H194">
        <v>1</v>
      </c>
    </row>
    <row r="195" spans="1:8" x14ac:dyDescent="0.3">
      <c r="A195">
        <v>259</v>
      </c>
      <c r="B195" s="1">
        <v>46116</v>
      </c>
      <c r="C195">
        <v>1010</v>
      </c>
      <c r="D195" t="s">
        <v>116</v>
      </c>
      <c r="E195">
        <v>1900.92</v>
      </c>
      <c r="F195" t="s">
        <v>324</v>
      </c>
      <c r="G195">
        <v>363</v>
      </c>
      <c r="H195">
        <v>1</v>
      </c>
    </row>
    <row r="196" spans="1:8" x14ac:dyDescent="0.3">
      <c r="A196">
        <v>260</v>
      </c>
      <c r="B196" s="1">
        <v>46116</v>
      </c>
      <c r="C196">
        <v>5010</v>
      </c>
      <c r="D196" t="s">
        <v>117</v>
      </c>
      <c r="E196">
        <v>1900.92</v>
      </c>
      <c r="F196" t="s">
        <v>323</v>
      </c>
      <c r="G196">
        <v>172</v>
      </c>
      <c r="H196">
        <v>1</v>
      </c>
    </row>
    <row r="197" spans="1:8" x14ac:dyDescent="0.3">
      <c r="A197">
        <v>261</v>
      </c>
      <c r="B197" s="1">
        <v>46116</v>
      </c>
      <c r="C197">
        <v>1010</v>
      </c>
      <c r="D197" t="s">
        <v>118</v>
      </c>
      <c r="E197">
        <v>1900.92</v>
      </c>
      <c r="F197" t="s">
        <v>324</v>
      </c>
      <c r="G197">
        <v>172</v>
      </c>
      <c r="H197">
        <v>1</v>
      </c>
    </row>
    <row r="198" spans="1:8" x14ac:dyDescent="0.3">
      <c r="A198">
        <v>262</v>
      </c>
      <c r="B198" s="1">
        <v>46116</v>
      </c>
      <c r="C198">
        <v>5010</v>
      </c>
      <c r="D198" t="s">
        <v>119</v>
      </c>
      <c r="E198">
        <v>1900.92</v>
      </c>
      <c r="F198" t="s">
        <v>323</v>
      </c>
      <c r="G198">
        <v>200</v>
      </c>
      <c r="H198">
        <v>1</v>
      </c>
    </row>
    <row r="199" spans="1:8" x14ac:dyDescent="0.3">
      <c r="A199">
        <v>263</v>
      </c>
      <c r="B199" s="1">
        <v>46116</v>
      </c>
      <c r="C199">
        <v>1010</v>
      </c>
      <c r="D199" t="s">
        <v>120</v>
      </c>
      <c r="E199">
        <v>1900.92</v>
      </c>
      <c r="F199" t="s">
        <v>324</v>
      </c>
      <c r="G199">
        <v>200</v>
      </c>
      <c r="H199">
        <v>1</v>
      </c>
    </row>
    <row r="200" spans="1:8" x14ac:dyDescent="0.3">
      <c r="A200">
        <v>264</v>
      </c>
      <c r="B200" s="1">
        <v>46116</v>
      </c>
      <c r="C200">
        <v>5010</v>
      </c>
      <c r="D200" t="s">
        <v>121</v>
      </c>
      <c r="E200">
        <v>1900.92</v>
      </c>
      <c r="F200" t="s">
        <v>323</v>
      </c>
      <c r="G200">
        <v>179</v>
      </c>
      <c r="H200">
        <v>1</v>
      </c>
    </row>
    <row r="201" spans="1:8" x14ac:dyDescent="0.3">
      <c r="A201">
        <v>265</v>
      </c>
      <c r="B201" s="1">
        <v>46116</v>
      </c>
      <c r="C201">
        <v>1010</v>
      </c>
      <c r="D201" t="s">
        <v>50</v>
      </c>
      <c r="E201">
        <v>1900.92</v>
      </c>
      <c r="F201" t="s">
        <v>324</v>
      </c>
      <c r="G201">
        <v>179</v>
      </c>
      <c r="H201">
        <v>1</v>
      </c>
    </row>
    <row r="202" spans="1:8" x14ac:dyDescent="0.3">
      <c r="A202">
        <v>266</v>
      </c>
      <c r="B202" s="1">
        <v>46116</v>
      </c>
      <c r="C202">
        <v>5010</v>
      </c>
      <c r="D202" t="s">
        <v>51</v>
      </c>
      <c r="E202">
        <v>1900.92</v>
      </c>
      <c r="F202" t="s">
        <v>323</v>
      </c>
      <c r="G202">
        <v>171</v>
      </c>
      <c r="H202">
        <v>1</v>
      </c>
    </row>
    <row r="203" spans="1:8" x14ac:dyDescent="0.3">
      <c r="A203">
        <v>267</v>
      </c>
      <c r="B203" s="1">
        <v>46116</v>
      </c>
      <c r="C203">
        <v>1010</v>
      </c>
      <c r="D203" t="s">
        <v>52</v>
      </c>
      <c r="E203">
        <v>1900.92</v>
      </c>
      <c r="F203" t="s">
        <v>324</v>
      </c>
      <c r="G203">
        <v>171</v>
      </c>
      <c r="H203">
        <v>1</v>
      </c>
    </row>
    <row r="204" spans="1:8" x14ac:dyDescent="0.3">
      <c r="A204">
        <v>268</v>
      </c>
      <c r="B204" s="1">
        <v>46116</v>
      </c>
      <c r="C204">
        <v>5010</v>
      </c>
      <c r="D204" t="s">
        <v>53</v>
      </c>
      <c r="E204">
        <v>1900.92</v>
      </c>
      <c r="F204" t="s">
        <v>323</v>
      </c>
      <c r="G204">
        <v>176</v>
      </c>
      <c r="H204">
        <v>1</v>
      </c>
    </row>
    <row r="205" spans="1:8" x14ac:dyDescent="0.3">
      <c r="A205">
        <v>269</v>
      </c>
      <c r="B205" s="1">
        <v>46116</v>
      </c>
      <c r="C205">
        <v>1010</v>
      </c>
      <c r="D205" t="s">
        <v>54</v>
      </c>
      <c r="E205">
        <v>1900.92</v>
      </c>
      <c r="F205" t="s">
        <v>324</v>
      </c>
      <c r="G205">
        <v>176</v>
      </c>
      <c r="H205">
        <v>1</v>
      </c>
    </row>
    <row r="206" spans="1:8" x14ac:dyDescent="0.3">
      <c r="A206">
        <v>270</v>
      </c>
      <c r="B206" s="1">
        <v>46116</v>
      </c>
      <c r="C206">
        <v>5010</v>
      </c>
      <c r="D206" t="s">
        <v>55</v>
      </c>
      <c r="E206">
        <v>1900.92</v>
      </c>
      <c r="F206" t="s">
        <v>323</v>
      </c>
      <c r="G206">
        <v>129</v>
      </c>
      <c r="H206">
        <v>1</v>
      </c>
    </row>
    <row r="207" spans="1:8" x14ac:dyDescent="0.3">
      <c r="A207">
        <v>271</v>
      </c>
      <c r="B207" s="1">
        <v>46116</v>
      </c>
      <c r="C207">
        <v>1010</v>
      </c>
      <c r="D207" t="s">
        <v>56</v>
      </c>
      <c r="E207">
        <v>1900.92</v>
      </c>
      <c r="F207" t="s">
        <v>324</v>
      </c>
      <c r="G207">
        <v>129</v>
      </c>
      <c r="H207">
        <v>1</v>
      </c>
    </row>
    <row r="208" spans="1:8" x14ac:dyDescent="0.3">
      <c r="A208">
        <v>272</v>
      </c>
      <c r="B208" s="1">
        <v>46116</v>
      </c>
      <c r="C208">
        <v>5010</v>
      </c>
      <c r="D208" t="s">
        <v>57</v>
      </c>
      <c r="E208">
        <v>1900.92</v>
      </c>
      <c r="F208" t="s">
        <v>323</v>
      </c>
      <c r="G208">
        <v>170</v>
      </c>
      <c r="H208">
        <v>1</v>
      </c>
    </row>
    <row r="209" spans="1:8" x14ac:dyDescent="0.3">
      <c r="A209">
        <v>273</v>
      </c>
      <c r="B209" s="1">
        <v>46116</v>
      </c>
      <c r="C209">
        <v>1010</v>
      </c>
      <c r="D209" t="s">
        <v>58</v>
      </c>
      <c r="E209">
        <v>1900.92</v>
      </c>
      <c r="F209" t="s">
        <v>324</v>
      </c>
      <c r="G209">
        <v>170</v>
      </c>
      <c r="H209">
        <v>1</v>
      </c>
    </row>
    <row r="210" spans="1:8" x14ac:dyDescent="0.3">
      <c r="A210">
        <v>274</v>
      </c>
      <c r="B210" s="1">
        <v>46116</v>
      </c>
      <c r="C210">
        <v>5010</v>
      </c>
      <c r="D210" t="s">
        <v>59</v>
      </c>
      <c r="E210">
        <v>1900.92</v>
      </c>
      <c r="F210" t="s">
        <v>323</v>
      </c>
      <c r="G210">
        <v>7</v>
      </c>
      <c r="H210">
        <v>1</v>
      </c>
    </row>
    <row r="211" spans="1:8" x14ac:dyDescent="0.3">
      <c r="A211">
        <v>275</v>
      </c>
      <c r="B211" s="1">
        <v>46116</v>
      </c>
      <c r="C211">
        <v>1010</v>
      </c>
      <c r="D211" t="s">
        <v>70</v>
      </c>
      <c r="E211">
        <v>1900.92</v>
      </c>
      <c r="F211" t="s">
        <v>324</v>
      </c>
      <c r="G211">
        <v>7</v>
      </c>
      <c r="H211">
        <v>1</v>
      </c>
    </row>
    <row r="212" spans="1:8" x14ac:dyDescent="0.3">
      <c r="A212">
        <v>276</v>
      </c>
      <c r="B212" s="1">
        <v>46116</v>
      </c>
      <c r="C212">
        <v>5010</v>
      </c>
      <c r="D212" t="s">
        <v>69</v>
      </c>
      <c r="E212">
        <v>1900.92</v>
      </c>
      <c r="F212" t="s">
        <v>323</v>
      </c>
      <c r="G212">
        <v>174</v>
      </c>
      <c r="H212">
        <v>1</v>
      </c>
    </row>
    <row r="213" spans="1:8" x14ac:dyDescent="0.3">
      <c r="A213">
        <v>277</v>
      </c>
      <c r="B213" s="1">
        <v>46116</v>
      </c>
      <c r="C213">
        <v>1010</v>
      </c>
      <c r="D213" t="s">
        <v>68</v>
      </c>
      <c r="E213">
        <v>1900.92</v>
      </c>
      <c r="F213" t="s">
        <v>324</v>
      </c>
      <c r="G213">
        <v>174</v>
      </c>
      <c r="H213">
        <v>1</v>
      </c>
    </row>
    <row r="214" spans="1:8" x14ac:dyDescent="0.3">
      <c r="A214">
        <v>278</v>
      </c>
      <c r="B214" s="1">
        <v>46116</v>
      </c>
      <c r="C214">
        <v>5010</v>
      </c>
      <c r="D214" t="s">
        <v>67</v>
      </c>
      <c r="E214">
        <v>1900.92</v>
      </c>
      <c r="F214" t="s">
        <v>323</v>
      </c>
      <c r="G214">
        <v>198</v>
      </c>
      <c r="H214">
        <v>1</v>
      </c>
    </row>
    <row r="215" spans="1:8" x14ac:dyDescent="0.3">
      <c r="A215">
        <v>279</v>
      </c>
      <c r="B215" s="1">
        <v>46116</v>
      </c>
      <c r="C215">
        <v>1010</v>
      </c>
      <c r="D215" t="s">
        <v>66</v>
      </c>
      <c r="E215">
        <v>1900.92</v>
      </c>
      <c r="F215" t="s">
        <v>324</v>
      </c>
      <c r="G215">
        <v>198</v>
      </c>
      <c r="H215">
        <v>1</v>
      </c>
    </row>
    <row r="216" spans="1:8" x14ac:dyDescent="0.3">
      <c r="A216">
        <v>280</v>
      </c>
      <c r="B216" s="1">
        <v>46116</v>
      </c>
      <c r="C216">
        <v>5010</v>
      </c>
      <c r="D216" t="s">
        <v>65</v>
      </c>
      <c r="E216">
        <v>1900.92</v>
      </c>
      <c r="F216" t="s">
        <v>323</v>
      </c>
      <c r="G216">
        <v>197</v>
      </c>
      <c r="H216">
        <v>1</v>
      </c>
    </row>
    <row r="217" spans="1:8" x14ac:dyDescent="0.3">
      <c r="A217">
        <v>281</v>
      </c>
      <c r="B217" s="1">
        <v>46116</v>
      </c>
      <c r="C217">
        <v>1010</v>
      </c>
      <c r="D217" t="s">
        <v>64</v>
      </c>
      <c r="E217">
        <v>1900.92</v>
      </c>
      <c r="F217" t="s">
        <v>324</v>
      </c>
      <c r="G217">
        <v>197</v>
      </c>
      <c r="H217">
        <v>1</v>
      </c>
    </row>
    <row r="218" spans="1:8" x14ac:dyDescent="0.3">
      <c r="A218">
        <v>282</v>
      </c>
      <c r="B218" s="1">
        <v>46116</v>
      </c>
      <c r="C218">
        <v>5010</v>
      </c>
      <c r="D218" t="s">
        <v>63</v>
      </c>
      <c r="E218">
        <v>1900.92</v>
      </c>
      <c r="F218" t="s">
        <v>323</v>
      </c>
      <c r="G218">
        <v>177</v>
      </c>
      <c r="H218">
        <v>1</v>
      </c>
    </row>
    <row r="219" spans="1:8" x14ac:dyDescent="0.3">
      <c r="A219">
        <v>283</v>
      </c>
      <c r="B219" s="1">
        <v>46116</v>
      </c>
      <c r="C219">
        <v>1010</v>
      </c>
      <c r="D219" t="s">
        <v>62</v>
      </c>
      <c r="E219">
        <v>1900.92</v>
      </c>
      <c r="F219" t="s">
        <v>324</v>
      </c>
      <c r="G219">
        <v>177</v>
      </c>
      <c r="H219">
        <v>1</v>
      </c>
    </row>
    <row r="220" spans="1:8" x14ac:dyDescent="0.3">
      <c r="A220">
        <v>284</v>
      </c>
      <c r="B220" s="1">
        <v>46116</v>
      </c>
      <c r="C220">
        <v>5010</v>
      </c>
      <c r="D220" t="s">
        <v>61</v>
      </c>
      <c r="E220">
        <v>1900.92</v>
      </c>
      <c r="F220" t="s">
        <v>323</v>
      </c>
      <c r="G220">
        <v>175</v>
      </c>
      <c r="H220">
        <v>1</v>
      </c>
    </row>
    <row r="221" spans="1:8" x14ac:dyDescent="0.3">
      <c r="A221">
        <v>285</v>
      </c>
      <c r="B221" s="1">
        <v>46116</v>
      </c>
      <c r="C221">
        <v>1010</v>
      </c>
      <c r="D221" t="s">
        <v>60</v>
      </c>
      <c r="E221">
        <v>1900.92</v>
      </c>
      <c r="F221" t="s">
        <v>324</v>
      </c>
      <c r="G221">
        <v>175</v>
      </c>
      <c r="H221">
        <v>1</v>
      </c>
    </row>
    <row r="222" spans="1:8" x14ac:dyDescent="0.3">
      <c r="A222">
        <v>286</v>
      </c>
      <c r="B222" s="1">
        <v>46146</v>
      </c>
      <c r="C222">
        <v>5010</v>
      </c>
      <c r="D222" t="s">
        <v>146</v>
      </c>
      <c r="E222">
        <v>1387.05</v>
      </c>
      <c r="F222" t="s">
        <v>323</v>
      </c>
      <c r="G222">
        <v>99</v>
      </c>
      <c r="H222">
        <v>1</v>
      </c>
    </row>
    <row r="223" spans="1:8" x14ac:dyDescent="0.3">
      <c r="A223">
        <v>287</v>
      </c>
      <c r="B223" s="1">
        <v>46146</v>
      </c>
      <c r="C223">
        <v>1010</v>
      </c>
      <c r="D223" t="s">
        <v>72</v>
      </c>
      <c r="E223">
        <v>1387.05</v>
      </c>
      <c r="F223" t="s">
        <v>324</v>
      </c>
      <c r="G223">
        <v>99</v>
      </c>
      <c r="H223">
        <v>1</v>
      </c>
    </row>
    <row r="224" spans="1:8" x14ac:dyDescent="0.3">
      <c r="A224">
        <v>288</v>
      </c>
      <c r="B224" s="1">
        <v>46146</v>
      </c>
      <c r="C224">
        <v>5010</v>
      </c>
      <c r="D224" t="s">
        <v>145</v>
      </c>
      <c r="E224">
        <v>1387.05</v>
      </c>
      <c r="F224" t="s">
        <v>323</v>
      </c>
      <c r="G224">
        <v>198</v>
      </c>
      <c r="H224">
        <v>1</v>
      </c>
    </row>
    <row r="225" spans="1:8" x14ac:dyDescent="0.3">
      <c r="A225">
        <v>289</v>
      </c>
      <c r="B225" s="1">
        <v>46146</v>
      </c>
      <c r="C225">
        <v>1010</v>
      </c>
      <c r="D225" t="s">
        <v>66</v>
      </c>
      <c r="E225">
        <v>1387.05</v>
      </c>
      <c r="F225" t="s">
        <v>324</v>
      </c>
      <c r="G225">
        <v>198</v>
      </c>
      <c r="H225">
        <v>1</v>
      </c>
    </row>
    <row r="226" spans="1:8" x14ac:dyDescent="0.3">
      <c r="A226">
        <v>290</v>
      </c>
      <c r="B226" s="1">
        <v>46146</v>
      </c>
      <c r="C226">
        <v>5010</v>
      </c>
      <c r="D226" t="s">
        <v>144</v>
      </c>
      <c r="E226">
        <v>1387.05</v>
      </c>
      <c r="F226" t="s">
        <v>323</v>
      </c>
      <c r="G226">
        <v>28</v>
      </c>
      <c r="H226">
        <v>1</v>
      </c>
    </row>
    <row r="227" spans="1:8" x14ac:dyDescent="0.3">
      <c r="A227">
        <v>291</v>
      </c>
      <c r="B227" s="1">
        <v>46146</v>
      </c>
      <c r="C227">
        <v>1010</v>
      </c>
      <c r="D227" t="s">
        <v>78</v>
      </c>
      <c r="E227">
        <v>1387.05</v>
      </c>
      <c r="F227" t="s">
        <v>324</v>
      </c>
      <c r="G227">
        <v>28</v>
      </c>
      <c r="H227">
        <v>1</v>
      </c>
    </row>
    <row r="228" spans="1:8" x14ac:dyDescent="0.3">
      <c r="A228">
        <v>292</v>
      </c>
      <c r="B228" s="1">
        <v>46146</v>
      </c>
      <c r="C228">
        <v>5010</v>
      </c>
      <c r="D228" t="s">
        <v>143</v>
      </c>
      <c r="E228">
        <v>1387.05</v>
      </c>
      <c r="F228" t="s">
        <v>323</v>
      </c>
      <c r="G228">
        <v>91</v>
      </c>
      <c r="H228">
        <v>1</v>
      </c>
    </row>
    <row r="229" spans="1:8" x14ac:dyDescent="0.3">
      <c r="A229">
        <v>293</v>
      </c>
      <c r="B229" s="1">
        <v>46146</v>
      </c>
      <c r="C229">
        <v>1010</v>
      </c>
      <c r="D229" t="s">
        <v>76</v>
      </c>
      <c r="E229">
        <v>1387.05</v>
      </c>
      <c r="F229" t="s">
        <v>324</v>
      </c>
      <c r="G229">
        <v>91</v>
      </c>
      <c r="H229">
        <v>1</v>
      </c>
    </row>
    <row r="230" spans="1:8" x14ac:dyDescent="0.3">
      <c r="A230">
        <v>294</v>
      </c>
      <c r="B230" s="1">
        <v>46146</v>
      </c>
      <c r="C230">
        <v>5010</v>
      </c>
      <c r="D230" t="s">
        <v>142</v>
      </c>
      <c r="E230">
        <v>1387.05</v>
      </c>
      <c r="F230" t="s">
        <v>323</v>
      </c>
      <c r="G230">
        <v>66</v>
      </c>
      <c r="H230">
        <v>1</v>
      </c>
    </row>
    <row r="231" spans="1:8" x14ac:dyDescent="0.3">
      <c r="A231">
        <v>295</v>
      </c>
      <c r="B231" s="1">
        <v>46146</v>
      </c>
      <c r="C231">
        <v>1010</v>
      </c>
      <c r="D231" t="s">
        <v>80</v>
      </c>
      <c r="E231">
        <v>1387.05</v>
      </c>
      <c r="F231" t="s">
        <v>324</v>
      </c>
      <c r="G231">
        <v>66</v>
      </c>
      <c r="H231">
        <v>1</v>
      </c>
    </row>
    <row r="232" spans="1:8" x14ac:dyDescent="0.3">
      <c r="A232">
        <v>296</v>
      </c>
      <c r="B232" s="1">
        <v>46146</v>
      </c>
      <c r="C232">
        <v>5010</v>
      </c>
      <c r="D232" t="s">
        <v>141</v>
      </c>
      <c r="E232">
        <v>1387.05</v>
      </c>
      <c r="F232" t="s">
        <v>323</v>
      </c>
      <c r="G232">
        <v>59</v>
      </c>
      <c r="H232">
        <v>1</v>
      </c>
    </row>
    <row r="233" spans="1:8" x14ac:dyDescent="0.3">
      <c r="A233">
        <v>297</v>
      </c>
      <c r="B233" s="1">
        <v>46146</v>
      </c>
      <c r="C233">
        <v>1010</v>
      </c>
      <c r="D233" t="s">
        <v>82</v>
      </c>
      <c r="E233">
        <v>1387.05</v>
      </c>
      <c r="F233" t="s">
        <v>324</v>
      </c>
      <c r="G233">
        <v>59</v>
      </c>
      <c r="H233">
        <v>1</v>
      </c>
    </row>
    <row r="234" spans="1:8" x14ac:dyDescent="0.3">
      <c r="A234">
        <v>298</v>
      </c>
      <c r="B234" s="1">
        <v>46146</v>
      </c>
      <c r="C234">
        <v>5010</v>
      </c>
      <c r="D234" t="s">
        <v>129</v>
      </c>
      <c r="E234">
        <v>1387.05</v>
      </c>
      <c r="F234" t="s">
        <v>323</v>
      </c>
      <c r="G234">
        <v>173</v>
      </c>
      <c r="H234">
        <v>1</v>
      </c>
    </row>
    <row r="235" spans="1:8" x14ac:dyDescent="0.3">
      <c r="A235">
        <v>299</v>
      </c>
      <c r="B235" s="1">
        <v>46146</v>
      </c>
      <c r="C235">
        <v>1010</v>
      </c>
      <c r="D235" t="s">
        <v>108</v>
      </c>
      <c r="E235">
        <v>1387.05</v>
      </c>
      <c r="F235" t="s">
        <v>324</v>
      </c>
      <c r="G235">
        <v>173</v>
      </c>
      <c r="H235">
        <v>1</v>
      </c>
    </row>
    <row r="236" spans="1:8" x14ac:dyDescent="0.3">
      <c r="A236">
        <v>300</v>
      </c>
      <c r="B236" s="1">
        <v>46146</v>
      </c>
      <c r="C236">
        <v>5010</v>
      </c>
      <c r="D236" t="s">
        <v>128</v>
      </c>
      <c r="E236">
        <v>1387.05</v>
      </c>
      <c r="F236" t="s">
        <v>323</v>
      </c>
      <c r="G236">
        <v>24</v>
      </c>
      <c r="H236">
        <v>1</v>
      </c>
    </row>
    <row r="237" spans="1:8" x14ac:dyDescent="0.3">
      <c r="A237">
        <v>301</v>
      </c>
      <c r="B237" s="1">
        <v>46146</v>
      </c>
      <c r="C237">
        <v>1010</v>
      </c>
      <c r="D237" t="s">
        <v>92</v>
      </c>
      <c r="E237">
        <v>1387.05</v>
      </c>
      <c r="F237" t="s">
        <v>324</v>
      </c>
      <c r="G237">
        <v>24</v>
      </c>
      <c r="H237">
        <v>1</v>
      </c>
    </row>
    <row r="238" spans="1:8" x14ac:dyDescent="0.3">
      <c r="A238">
        <v>302</v>
      </c>
      <c r="B238" s="1">
        <v>46146</v>
      </c>
      <c r="C238">
        <v>5010</v>
      </c>
      <c r="D238" t="s">
        <v>127</v>
      </c>
      <c r="E238">
        <v>1387.05</v>
      </c>
      <c r="F238" t="s">
        <v>323</v>
      </c>
      <c r="G238">
        <v>25</v>
      </c>
      <c r="H238">
        <v>1</v>
      </c>
    </row>
    <row r="239" spans="1:8" x14ac:dyDescent="0.3">
      <c r="A239">
        <v>303</v>
      </c>
      <c r="B239" s="1">
        <v>46146</v>
      </c>
      <c r="C239">
        <v>1010</v>
      </c>
      <c r="D239" t="s">
        <v>88</v>
      </c>
      <c r="E239">
        <v>1387.05</v>
      </c>
      <c r="F239" t="s">
        <v>324</v>
      </c>
      <c r="G239">
        <v>25</v>
      </c>
      <c r="H239">
        <v>1</v>
      </c>
    </row>
    <row r="240" spans="1:8" x14ac:dyDescent="0.3">
      <c r="A240">
        <v>304</v>
      </c>
      <c r="B240" s="1">
        <v>46146</v>
      </c>
      <c r="C240">
        <v>5010</v>
      </c>
      <c r="D240" t="s">
        <v>126</v>
      </c>
      <c r="E240">
        <v>1387.05</v>
      </c>
      <c r="F240" t="s">
        <v>323</v>
      </c>
      <c r="G240">
        <v>344</v>
      </c>
      <c r="H240">
        <v>1</v>
      </c>
    </row>
    <row r="241" spans="1:8" x14ac:dyDescent="0.3">
      <c r="A241">
        <v>305</v>
      </c>
      <c r="B241" s="1">
        <v>46146</v>
      </c>
      <c r="C241">
        <v>1010</v>
      </c>
      <c r="D241" t="s">
        <v>90</v>
      </c>
      <c r="E241">
        <v>1387.05</v>
      </c>
      <c r="F241" t="s">
        <v>324</v>
      </c>
      <c r="G241">
        <v>344</v>
      </c>
      <c r="H241">
        <v>1</v>
      </c>
    </row>
    <row r="242" spans="1:8" x14ac:dyDescent="0.3">
      <c r="A242">
        <v>306</v>
      </c>
      <c r="B242" s="1">
        <v>46146</v>
      </c>
      <c r="C242">
        <v>5010</v>
      </c>
      <c r="D242" t="s">
        <v>125</v>
      </c>
      <c r="E242">
        <v>1387.05</v>
      </c>
      <c r="F242" t="s">
        <v>323</v>
      </c>
      <c r="G242">
        <v>52</v>
      </c>
      <c r="H242">
        <v>1</v>
      </c>
    </row>
    <row r="243" spans="1:8" x14ac:dyDescent="0.3">
      <c r="A243">
        <v>307</v>
      </c>
      <c r="B243" s="1">
        <v>46146</v>
      </c>
      <c r="C243">
        <v>1010</v>
      </c>
      <c r="D243" t="s">
        <v>102</v>
      </c>
      <c r="E243">
        <v>1387.05</v>
      </c>
      <c r="F243" t="s">
        <v>324</v>
      </c>
      <c r="G243">
        <v>52</v>
      </c>
      <c r="H243">
        <v>1</v>
      </c>
    </row>
    <row r="244" spans="1:8" x14ac:dyDescent="0.3">
      <c r="A244">
        <v>308</v>
      </c>
      <c r="B244" s="1">
        <v>46146</v>
      </c>
      <c r="C244">
        <v>5010</v>
      </c>
      <c r="D244" t="s">
        <v>140</v>
      </c>
      <c r="E244">
        <v>1387.05</v>
      </c>
      <c r="F244" t="s">
        <v>323</v>
      </c>
      <c r="G244">
        <v>23</v>
      </c>
      <c r="H244">
        <v>1</v>
      </c>
    </row>
    <row r="245" spans="1:8" x14ac:dyDescent="0.3">
      <c r="A245">
        <v>309</v>
      </c>
      <c r="B245" s="1">
        <v>46146</v>
      </c>
      <c r="C245">
        <v>1010</v>
      </c>
      <c r="D245" t="s">
        <v>96</v>
      </c>
      <c r="E245">
        <v>1387.05</v>
      </c>
      <c r="F245" t="s">
        <v>324</v>
      </c>
      <c r="G245">
        <v>23</v>
      </c>
      <c r="H245">
        <v>1</v>
      </c>
    </row>
    <row r="246" spans="1:8" x14ac:dyDescent="0.3">
      <c r="A246">
        <v>310</v>
      </c>
      <c r="B246" s="1">
        <v>46146</v>
      </c>
      <c r="C246">
        <v>5010</v>
      </c>
      <c r="D246" t="s">
        <v>139</v>
      </c>
      <c r="E246">
        <v>1387.05</v>
      </c>
      <c r="F246" t="s">
        <v>323</v>
      </c>
      <c r="G246">
        <v>22</v>
      </c>
      <c r="H246">
        <v>1</v>
      </c>
    </row>
    <row r="247" spans="1:8" x14ac:dyDescent="0.3">
      <c r="A247">
        <v>311</v>
      </c>
      <c r="B247" s="1">
        <v>46146</v>
      </c>
      <c r="C247">
        <v>1010</v>
      </c>
      <c r="D247" t="s">
        <v>114</v>
      </c>
      <c r="E247">
        <v>1387.05</v>
      </c>
      <c r="F247" t="s">
        <v>324</v>
      </c>
      <c r="G247">
        <v>22</v>
      </c>
      <c r="H247">
        <v>1</v>
      </c>
    </row>
    <row r="248" spans="1:8" x14ac:dyDescent="0.3">
      <c r="A248">
        <v>312</v>
      </c>
      <c r="B248" s="1">
        <v>46146</v>
      </c>
      <c r="C248">
        <v>5010</v>
      </c>
      <c r="D248" t="s">
        <v>138</v>
      </c>
      <c r="E248">
        <v>1387.05</v>
      </c>
      <c r="F248" t="s">
        <v>323</v>
      </c>
      <c r="G248">
        <v>50</v>
      </c>
      <c r="H248">
        <v>1</v>
      </c>
    </row>
    <row r="249" spans="1:8" x14ac:dyDescent="0.3">
      <c r="A249">
        <v>313</v>
      </c>
      <c r="B249" s="1">
        <v>46146</v>
      </c>
      <c r="C249">
        <v>1010</v>
      </c>
      <c r="D249" t="s">
        <v>104</v>
      </c>
      <c r="E249">
        <v>1387.05</v>
      </c>
      <c r="F249" t="s">
        <v>324</v>
      </c>
      <c r="G249">
        <v>50</v>
      </c>
      <c r="H249">
        <v>1</v>
      </c>
    </row>
    <row r="250" spans="1:8" x14ac:dyDescent="0.3">
      <c r="A250">
        <v>314</v>
      </c>
      <c r="B250" s="1">
        <v>46146</v>
      </c>
      <c r="C250">
        <v>5010</v>
      </c>
      <c r="D250" t="s">
        <v>137</v>
      </c>
      <c r="E250">
        <v>1387.05</v>
      </c>
      <c r="F250" t="s">
        <v>323</v>
      </c>
      <c r="G250">
        <v>197</v>
      </c>
      <c r="H250">
        <v>1</v>
      </c>
    </row>
    <row r="251" spans="1:8" x14ac:dyDescent="0.3">
      <c r="A251">
        <v>315</v>
      </c>
      <c r="B251" s="1">
        <v>46146</v>
      </c>
      <c r="C251">
        <v>1010</v>
      </c>
      <c r="D251" t="s">
        <v>64</v>
      </c>
      <c r="E251">
        <v>1387.05</v>
      </c>
      <c r="F251" t="s">
        <v>324</v>
      </c>
      <c r="G251">
        <v>197</v>
      </c>
      <c r="H251">
        <v>1</v>
      </c>
    </row>
    <row r="252" spans="1:8" x14ac:dyDescent="0.3">
      <c r="A252">
        <v>316</v>
      </c>
      <c r="B252" s="1">
        <v>46146</v>
      </c>
      <c r="C252">
        <v>5010</v>
      </c>
      <c r="D252" t="s">
        <v>136</v>
      </c>
      <c r="E252">
        <v>1387.05</v>
      </c>
      <c r="F252" t="s">
        <v>323</v>
      </c>
      <c r="G252">
        <v>179</v>
      </c>
      <c r="H252">
        <v>1</v>
      </c>
    </row>
    <row r="253" spans="1:8" x14ac:dyDescent="0.3">
      <c r="A253">
        <v>317</v>
      </c>
      <c r="B253" s="1">
        <v>46146</v>
      </c>
      <c r="C253">
        <v>1010</v>
      </c>
      <c r="D253" t="s">
        <v>50</v>
      </c>
      <c r="E253">
        <v>1387.05</v>
      </c>
      <c r="F253" t="s">
        <v>324</v>
      </c>
      <c r="G253">
        <v>179</v>
      </c>
      <c r="H253">
        <v>1</v>
      </c>
    </row>
    <row r="254" spans="1:8" x14ac:dyDescent="0.3">
      <c r="A254">
        <v>318</v>
      </c>
      <c r="B254" s="1">
        <v>46146</v>
      </c>
      <c r="C254">
        <v>5010</v>
      </c>
      <c r="D254" t="s">
        <v>135</v>
      </c>
      <c r="E254">
        <v>1387.05</v>
      </c>
      <c r="F254" t="s">
        <v>323</v>
      </c>
      <c r="G254">
        <v>129</v>
      </c>
      <c r="H254">
        <v>1</v>
      </c>
    </row>
    <row r="255" spans="1:8" x14ac:dyDescent="0.3">
      <c r="A255">
        <v>319</v>
      </c>
      <c r="B255" s="1">
        <v>46146</v>
      </c>
      <c r="C255">
        <v>1010</v>
      </c>
      <c r="D255" t="s">
        <v>56</v>
      </c>
      <c r="E255">
        <v>1387.05</v>
      </c>
      <c r="F255" t="s">
        <v>324</v>
      </c>
      <c r="G255">
        <v>129</v>
      </c>
      <c r="H255">
        <v>1</v>
      </c>
    </row>
    <row r="256" spans="1:8" x14ac:dyDescent="0.3">
      <c r="A256">
        <v>320</v>
      </c>
      <c r="B256" s="1">
        <v>46146</v>
      </c>
      <c r="C256">
        <v>5010</v>
      </c>
      <c r="D256" t="s">
        <v>134</v>
      </c>
      <c r="E256">
        <v>1387.05</v>
      </c>
      <c r="F256" t="s">
        <v>323</v>
      </c>
      <c r="G256">
        <v>169</v>
      </c>
      <c r="H256">
        <v>1</v>
      </c>
    </row>
    <row r="257" spans="1:8" x14ac:dyDescent="0.3">
      <c r="A257">
        <v>321</v>
      </c>
      <c r="B257" s="1">
        <v>46146</v>
      </c>
      <c r="C257">
        <v>1010</v>
      </c>
      <c r="D257" t="s">
        <v>94</v>
      </c>
      <c r="E257">
        <v>1387.05</v>
      </c>
      <c r="F257" t="s">
        <v>324</v>
      </c>
      <c r="G257">
        <v>169</v>
      </c>
      <c r="H257">
        <v>1</v>
      </c>
    </row>
    <row r="258" spans="1:8" x14ac:dyDescent="0.3">
      <c r="A258">
        <v>322</v>
      </c>
      <c r="B258" s="1">
        <v>46146</v>
      </c>
      <c r="C258">
        <v>5010</v>
      </c>
      <c r="D258" t="s">
        <v>133</v>
      </c>
      <c r="E258">
        <v>1387.05</v>
      </c>
      <c r="F258" t="s">
        <v>323</v>
      </c>
      <c r="G258">
        <v>361</v>
      </c>
      <c r="H258">
        <v>1</v>
      </c>
    </row>
    <row r="259" spans="1:8" x14ac:dyDescent="0.3">
      <c r="A259">
        <v>323</v>
      </c>
      <c r="B259" s="1">
        <v>46146</v>
      </c>
      <c r="C259">
        <v>1010</v>
      </c>
      <c r="D259" t="s">
        <v>98</v>
      </c>
      <c r="E259">
        <v>1387.05</v>
      </c>
      <c r="F259" t="s">
        <v>324</v>
      </c>
      <c r="G259">
        <v>361</v>
      </c>
      <c r="H259">
        <v>1</v>
      </c>
    </row>
    <row r="260" spans="1:8" x14ac:dyDescent="0.3">
      <c r="A260">
        <v>324</v>
      </c>
      <c r="B260" s="1">
        <v>46146</v>
      </c>
      <c r="C260">
        <v>5010</v>
      </c>
      <c r="D260" t="s">
        <v>132</v>
      </c>
      <c r="E260">
        <v>1387.05</v>
      </c>
      <c r="F260" t="s">
        <v>323</v>
      </c>
      <c r="G260">
        <v>171</v>
      </c>
      <c r="H260">
        <v>1</v>
      </c>
    </row>
    <row r="261" spans="1:8" x14ac:dyDescent="0.3">
      <c r="A261">
        <v>325</v>
      </c>
      <c r="B261" s="1">
        <v>46146</v>
      </c>
      <c r="C261">
        <v>1010</v>
      </c>
      <c r="D261" t="s">
        <v>52</v>
      </c>
      <c r="E261">
        <v>1387.05</v>
      </c>
      <c r="F261" t="s">
        <v>324</v>
      </c>
      <c r="G261">
        <v>171</v>
      </c>
      <c r="H261">
        <v>1</v>
      </c>
    </row>
    <row r="262" spans="1:8" x14ac:dyDescent="0.3">
      <c r="A262">
        <v>326</v>
      </c>
      <c r="B262" s="1">
        <v>46146</v>
      </c>
      <c r="C262">
        <v>5010</v>
      </c>
      <c r="D262" t="s">
        <v>131</v>
      </c>
      <c r="E262">
        <v>1387.05</v>
      </c>
      <c r="F262" t="s">
        <v>323</v>
      </c>
      <c r="G262">
        <v>177</v>
      </c>
      <c r="H262">
        <v>1</v>
      </c>
    </row>
    <row r="263" spans="1:8" x14ac:dyDescent="0.3">
      <c r="A263">
        <v>327</v>
      </c>
      <c r="B263" s="1">
        <v>46146</v>
      </c>
      <c r="C263">
        <v>1010</v>
      </c>
      <c r="D263" t="s">
        <v>62</v>
      </c>
      <c r="E263">
        <v>1387.05</v>
      </c>
      <c r="F263" t="s">
        <v>324</v>
      </c>
      <c r="G263">
        <v>177</v>
      </c>
      <c r="H263">
        <v>1</v>
      </c>
    </row>
    <row r="264" spans="1:8" x14ac:dyDescent="0.3">
      <c r="A264">
        <v>328</v>
      </c>
      <c r="B264" s="1">
        <v>46146</v>
      </c>
      <c r="C264">
        <v>5010</v>
      </c>
      <c r="D264" t="s">
        <v>130</v>
      </c>
      <c r="E264">
        <v>1387.05</v>
      </c>
      <c r="F264" t="s">
        <v>323</v>
      </c>
      <c r="G264">
        <v>114</v>
      </c>
      <c r="H264">
        <v>1</v>
      </c>
    </row>
    <row r="265" spans="1:8" x14ac:dyDescent="0.3">
      <c r="A265">
        <v>329</v>
      </c>
      <c r="B265" s="1">
        <v>46146</v>
      </c>
      <c r="C265">
        <v>1010</v>
      </c>
      <c r="D265" t="s">
        <v>100</v>
      </c>
      <c r="E265">
        <v>1387.05</v>
      </c>
      <c r="F265" t="s">
        <v>324</v>
      </c>
      <c r="G265">
        <v>114</v>
      </c>
      <c r="H265">
        <v>1</v>
      </c>
    </row>
    <row r="266" spans="1:8" x14ac:dyDescent="0.3">
      <c r="A266">
        <v>330</v>
      </c>
      <c r="B266" s="1">
        <v>46146</v>
      </c>
      <c r="C266">
        <v>5010</v>
      </c>
      <c r="D266" t="s">
        <v>158</v>
      </c>
      <c r="E266">
        <v>1387.05</v>
      </c>
      <c r="F266" t="s">
        <v>323</v>
      </c>
      <c r="G266">
        <v>176</v>
      </c>
      <c r="H266">
        <v>1</v>
      </c>
    </row>
    <row r="267" spans="1:8" x14ac:dyDescent="0.3">
      <c r="A267">
        <v>331</v>
      </c>
      <c r="B267" s="1">
        <v>46146</v>
      </c>
      <c r="C267">
        <v>1010</v>
      </c>
      <c r="D267" t="s">
        <v>54</v>
      </c>
      <c r="E267">
        <v>1387.05</v>
      </c>
      <c r="F267" t="s">
        <v>324</v>
      </c>
      <c r="G267">
        <v>176</v>
      </c>
      <c r="H267">
        <v>1</v>
      </c>
    </row>
    <row r="268" spans="1:8" x14ac:dyDescent="0.3">
      <c r="A268">
        <v>332</v>
      </c>
      <c r="B268" s="1">
        <v>46146</v>
      </c>
      <c r="C268">
        <v>5010</v>
      </c>
      <c r="D268" t="s">
        <v>157</v>
      </c>
      <c r="E268">
        <v>1387.05</v>
      </c>
      <c r="F268" t="s">
        <v>323</v>
      </c>
      <c r="G268">
        <v>49</v>
      </c>
      <c r="H268">
        <v>1</v>
      </c>
    </row>
    <row r="269" spans="1:8" x14ac:dyDescent="0.3">
      <c r="A269">
        <v>333</v>
      </c>
      <c r="B269" s="1">
        <v>46146</v>
      </c>
      <c r="C269">
        <v>1010</v>
      </c>
      <c r="D269" t="s">
        <v>106</v>
      </c>
      <c r="E269">
        <v>1387.05</v>
      </c>
      <c r="F269" t="s">
        <v>324</v>
      </c>
      <c r="G269">
        <v>49</v>
      </c>
      <c r="H269">
        <v>1</v>
      </c>
    </row>
    <row r="270" spans="1:8" x14ac:dyDescent="0.3">
      <c r="A270">
        <v>334</v>
      </c>
      <c r="B270" s="1">
        <v>46146</v>
      </c>
      <c r="C270">
        <v>5010</v>
      </c>
      <c r="D270" t="s">
        <v>156</v>
      </c>
      <c r="E270">
        <v>1387.05</v>
      </c>
      <c r="F270" t="s">
        <v>323</v>
      </c>
      <c r="G270">
        <v>47</v>
      </c>
      <c r="H270">
        <v>1</v>
      </c>
    </row>
    <row r="271" spans="1:8" x14ac:dyDescent="0.3">
      <c r="A271">
        <v>335</v>
      </c>
      <c r="B271" s="1">
        <v>46146</v>
      </c>
      <c r="C271">
        <v>1010</v>
      </c>
      <c r="D271" t="s">
        <v>110</v>
      </c>
      <c r="E271">
        <v>1387.05</v>
      </c>
      <c r="F271" t="s">
        <v>324</v>
      </c>
      <c r="G271">
        <v>47</v>
      </c>
      <c r="H271">
        <v>1</v>
      </c>
    </row>
    <row r="272" spans="1:8" x14ac:dyDescent="0.3">
      <c r="A272">
        <v>336</v>
      </c>
      <c r="B272" s="1">
        <v>46146</v>
      </c>
      <c r="C272">
        <v>5010</v>
      </c>
      <c r="D272" t="s">
        <v>154</v>
      </c>
      <c r="E272">
        <v>1387.05</v>
      </c>
      <c r="F272" t="s">
        <v>323</v>
      </c>
      <c r="G272">
        <v>175</v>
      </c>
      <c r="H272">
        <v>1</v>
      </c>
    </row>
    <row r="273" spans="1:8" x14ac:dyDescent="0.3">
      <c r="A273">
        <v>337</v>
      </c>
      <c r="B273" s="1">
        <v>46146</v>
      </c>
      <c r="C273">
        <v>1010</v>
      </c>
      <c r="D273" t="s">
        <v>60</v>
      </c>
      <c r="E273">
        <v>1387.05</v>
      </c>
      <c r="F273" t="s">
        <v>324</v>
      </c>
      <c r="G273">
        <v>175</v>
      </c>
      <c r="H273">
        <v>1</v>
      </c>
    </row>
    <row r="274" spans="1:8" x14ac:dyDescent="0.3">
      <c r="A274">
        <v>338</v>
      </c>
      <c r="B274" s="1">
        <v>46146</v>
      </c>
      <c r="C274">
        <v>5010</v>
      </c>
      <c r="D274" t="s">
        <v>153</v>
      </c>
      <c r="E274">
        <v>1387.05</v>
      </c>
      <c r="F274" t="s">
        <v>323</v>
      </c>
      <c r="G274">
        <v>172</v>
      </c>
      <c r="H274">
        <v>1</v>
      </c>
    </row>
    <row r="275" spans="1:8" x14ac:dyDescent="0.3">
      <c r="A275">
        <v>339</v>
      </c>
      <c r="B275" s="1">
        <v>46146</v>
      </c>
      <c r="C275">
        <v>1010</v>
      </c>
      <c r="D275" t="s">
        <v>118</v>
      </c>
      <c r="E275">
        <v>1387.05</v>
      </c>
      <c r="F275" t="s">
        <v>324</v>
      </c>
      <c r="G275">
        <v>172</v>
      </c>
      <c r="H275">
        <v>1</v>
      </c>
    </row>
    <row r="276" spans="1:8" x14ac:dyDescent="0.3">
      <c r="A276">
        <v>340</v>
      </c>
      <c r="B276" s="1">
        <v>46146</v>
      </c>
      <c r="C276">
        <v>5010</v>
      </c>
      <c r="D276" t="s">
        <v>152</v>
      </c>
      <c r="E276">
        <v>1387.05</v>
      </c>
      <c r="F276" t="s">
        <v>323</v>
      </c>
      <c r="G276">
        <v>363</v>
      </c>
      <c r="H276">
        <v>1</v>
      </c>
    </row>
    <row r="277" spans="1:8" x14ac:dyDescent="0.3">
      <c r="A277">
        <v>341</v>
      </c>
      <c r="B277" s="1">
        <v>46146</v>
      </c>
      <c r="C277">
        <v>1010</v>
      </c>
      <c r="D277" t="s">
        <v>116</v>
      </c>
      <c r="E277">
        <v>1387.05</v>
      </c>
      <c r="F277" t="s">
        <v>324</v>
      </c>
      <c r="G277">
        <v>363</v>
      </c>
      <c r="H277">
        <v>1</v>
      </c>
    </row>
    <row r="278" spans="1:8" x14ac:dyDescent="0.3">
      <c r="A278">
        <v>342</v>
      </c>
      <c r="B278" s="1">
        <v>46146</v>
      </c>
      <c r="C278">
        <v>5010</v>
      </c>
      <c r="D278" t="s">
        <v>151</v>
      </c>
      <c r="E278">
        <v>1387.05</v>
      </c>
      <c r="F278" t="s">
        <v>323</v>
      </c>
      <c r="G278">
        <v>170</v>
      </c>
      <c r="H278">
        <v>1</v>
      </c>
    </row>
    <row r="279" spans="1:8" x14ac:dyDescent="0.3">
      <c r="A279">
        <v>343</v>
      </c>
      <c r="B279" s="1">
        <v>46146</v>
      </c>
      <c r="C279">
        <v>1010</v>
      </c>
      <c r="D279" t="s">
        <v>58</v>
      </c>
      <c r="E279">
        <v>1387.05</v>
      </c>
      <c r="F279" t="s">
        <v>324</v>
      </c>
      <c r="G279">
        <v>170</v>
      </c>
      <c r="H279">
        <v>1</v>
      </c>
    </row>
    <row r="280" spans="1:8" x14ac:dyDescent="0.3">
      <c r="A280">
        <v>344</v>
      </c>
      <c r="B280" s="1">
        <v>46146</v>
      </c>
      <c r="C280">
        <v>5010</v>
      </c>
      <c r="D280" t="s">
        <v>155</v>
      </c>
      <c r="E280">
        <v>1387.05</v>
      </c>
      <c r="F280" t="s">
        <v>323</v>
      </c>
      <c r="G280">
        <v>200</v>
      </c>
      <c r="H280">
        <v>1</v>
      </c>
    </row>
    <row r="281" spans="1:8" x14ac:dyDescent="0.3">
      <c r="A281">
        <v>345</v>
      </c>
      <c r="B281" s="1">
        <v>46146</v>
      </c>
      <c r="C281">
        <v>1010</v>
      </c>
      <c r="D281" t="s">
        <v>120</v>
      </c>
      <c r="E281">
        <v>1387.05</v>
      </c>
      <c r="F281" t="s">
        <v>324</v>
      </c>
      <c r="G281">
        <v>200</v>
      </c>
      <c r="H281">
        <v>1</v>
      </c>
    </row>
    <row r="282" spans="1:8" x14ac:dyDescent="0.3">
      <c r="A282">
        <v>346</v>
      </c>
      <c r="B282" s="1">
        <v>46146</v>
      </c>
      <c r="C282">
        <v>5010</v>
      </c>
      <c r="D282" t="s">
        <v>150</v>
      </c>
      <c r="E282">
        <v>1387.05</v>
      </c>
      <c r="F282" t="s">
        <v>323</v>
      </c>
      <c r="G282">
        <v>199</v>
      </c>
      <c r="H282">
        <v>1</v>
      </c>
    </row>
    <row r="283" spans="1:8" x14ac:dyDescent="0.3">
      <c r="A283">
        <v>347</v>
      </c>
      <c r="B283" s="1">
        <v>46146</v>
      </c>
      <c r="C283">
        <v>1010</v>
      </c>
      <c r="D283" t="s">
        <v>86</v>
      </c>
      <c r="E283">
        <v>1387.05</v>
      </c>
      <c r="F283" t="s">
        <v>324</v>
      </c>
      <c r="G283">
        <v>199</v>
      </c>
      <c r="H283">
        <v>1</v>
      </c>
    </row>
    <row r="284" spans="1:8" x14ac:dyDescent="0.3">
      <c r="A284">
        <v>348</v>
      </c>
      <c r="B284" s="1">
        <v>46146</v>
      </c>
      <c r="C284">
        <v>5010</v>
      </c>
      <c r="D284" t="s">
        <v>149</v>
      </c>
      <c r="E284">
        <v>1387.05</v>
      </c>
      <c r="F284" t="s">
        <v>323</v>
      </c>
      <c r="G284">
        <v>7</v>
      </c>
      <c r="H284">
        <v>1</v>
      </c>
    </row>
    <row r="285" spans="1:8" x14ac:dyDescent="0.3">
      <c r="A285">
        <v>349</v>
      </c>
      <c r="B285" s="1">
        <v>46146</v>
      </c>
      <c r="C285">
        <v>1010</v>
      </c>
      <c r="D285" t="s">
        <v>70</v>
      </c>
      <c r="E285">
        <v>1387.05</v>
      </c>
      <c r="F285" t="s">
        <v>324</v>
      </c>
      <c r="G285">
        <v>7</v>
      </c>
      <c r="H285">
        <v>1</v>
      </c>
    </row>
    <row r="286" spans="1:8" x14ac:dyDescent="0.3">
      <c r="A286">
        <v>350</v>
      </c>
      <c r="B286" s="1">
        <v>46146</v>
      </c>
      <c r="C286">
        <v>5010</v>
      </c>
      <c r="D286" t="s">
        <v>148</v>
      </c>
      <c r="E286">
        <v>1387.05</v>
      </c>
      <c r="F286" t="s">
        <v>323</v>
      </c>
      <c r="G286">
        <v>364</v>
      </c>
      <c r="H286">
        <v>1</v>
      </c>
    </row>
    <row r="287" spans="1:8" x14ac:dyDescent="0.3">
      <c r="A287">
        <v>351</v>
      </c>
      <c r="B287" s="1">
        <v>46146</v>
      </c>
      <c r="C287">
        <v>1010</v>
      </c>
      <c r="D287" t="s">
        <v>112</v>
      </c>
      <c r="E287">
        <v>1387.05</v>
      </c>
      <c r="F287" t="s">
        <v>324</v>
      </c>
      <c r="G287">
        <v>364</v>
      </c>
      <c r="H287">
        <v>1</v>
      </c>
    </row>
    <row r="288" spans="1:8" x14ac:dyDescent="0.3">
      <c r="A288">
        <v>352</v>
      </c>
      <c r="B288" s="1">
        <v>46146</v>
      </c>
      <c r="C288">
        <v>5010</v>
      </c>
      <c r="D288" t="s">
        <v>147</v>
      </c>
      <c r="E288">
        <v>1387.05</v>
      </c>
      <c r="F288" t="s">
        <v>323</v>
      </c>
      <c r="G288">
        <v>174</v>
      </c>
      <c r="H288">
        <v>1</v>
      </c>
    </row>
    <row r="289" spans="1:8" x14ac:dyDescent="0.3">
      <c r="A289">
        <v>353</v>
      </c>
      <c r="B289" s="1">
        <v>46146</v>
      </c>
      <c r="C289">
        <v>1010</v>
      </c>
      <c r="D289" t="s">
        <v>68</v>
      </c>
      <c r="E289">
        <v>1387.05</v>
      </c>
      <c r="F289" t="s">
        <v>324</v>
      </c>
      <c r="G289">
        <v>174</v>
      </c>
      <c r="H289">
        <v>1</v>
      </c>
    </row>
    <row r="290" spans="1:8" x14ac:dyDescent="0.3">
      <c r="A290">
        <v>354</v>
      </c>
      <c r="B290" s="1">
        <v>46163</v>
      </c>
      <c r="C290">
        <v>5010</v>
      </c>
      <c r="D290" t="s">
        <v>162</v>
      </c>
      <c r="E290">
        <v>786</v>
      </c>
      <c r="F290" t="s">
        <v>323</v>
      </c>
      <c r="G290">
        <v>199</v>
      </c>
      <c r="H290">
        <v>1</v>
      </c>
    </row>
    <row r="291" spans="1:8" x14ac:dyDescent="0.3">
      <c r="A291">
        <v>355</v>
      </c>
      <c r="B291" s="1">
        <v>46163</v>
      </c>
      <c r="C291">
        <v>1010</v>
      </c>
      <c r="D291" t="s">
        <v>86</v>
      </c>
      <c r="E291">
        <v>786</v>
      </c>
      <c r="F291" t="s">
        <v>324</v>
      </c>
      <c r="G291">
        <v>199</v>
      </c>
      <c r="H291">
        <v>1</v>
      </c>
    </row>
    <row r="292" spans="1:8" x14ac:dyDescent="0.3">
      <c r="A292">
        <v>356</v>
      </c>
      <c r="B292" s="1">
        <v>46163</v>
      </c>
      <c r="C292">
        <v>5010</v>
      </c>
      <c r="D292" t="s">
        <v>163</v>
      </c>
      <c r="E292">
        <v>786</v>
      </c>
      <c r="F292" t="s">
        <v>323</v>
      </c>
      <c r="G292">
        <v>171</v>
      </c>
      <c r="H292">
        <v>1</v>
      </c>
    </row>
    <row r="293" spans="1:8" x14ac:dyDescent="0.3">
      <c r="A293">
        <v>357</v>
      </c>
      <c r="B293" s="1">
        <v>46163</v>
      </c>
      <c r="C293">
        <v>1010</v>
      </c>
      <c r="D293" t="s">
        <v>52</v>
      </c>
      <c r="E293">
        <v>786</v>
      </c>
      <c r="F293" t="s">
        <v>324</v>
      </c>
      <c r="G293">
        <v>171</v>
      </c>
      <c r="H293">
        <v>1</v>
      </c>
    </row>
    <row r="294" spans="1:8" x14ac:dyDescent="0.3">
      <c r="A294">
        <v>358</v>
      </c>
      <c r="B294" s="1">
        <v>46164</v>
      </c>
      <c r="C294">
        <v>5010</v>
      </c>
      <c r="D294" t="s">
        <v>164</v>
      </c>
      <c r="E294">
        <v>832.23</v>
      </c>
      <c r="F294" t="s">
        <v>323</v>
      </c>
      <c r="G294">
        <v>91</v>
      </c>
      <c r="H294">
        <v>1</v>
      </c>
    </row>
    <row r="295" spans="1:8" x14ac:dyDescent="0.3">
      <c r="A295">
        <v>359</v>
      </c>
      <c r="B295" s="1">
        <v>46164</v>
      </c>
      <c r="C295">
        <v>1010</v>
      </c>
      <c r="D295" t="s">
        <v>76</v>
      </c>
      <c r="E295">
        <v>832.23</v>
      </c>
      <c r="F295" t="s">
        <v>324</v>
      </c>
      <c r="G295">
        <v>91</v>
      </c>
      <c r="H295">
        <v>1</v>
      </c>
    </row>
    <row r="296" spans="1:8" x14ac:dyDescent="0.3">
      <c r="A296">
        <v>360</v>
      </c>
      <c r="B296" s="1">
        <v>46164</v>
      </c>
      <c r="C296">
        <v>5010</v>
      </c>
      <c r="D296" t="s">
        <v>167</v>
      </c>
      <c r="E296">
        <v>832.23</v>
      </c>
      <c r="F296" t="s">
        <v>323</v>
      </c>
      <c r="G296">
        <v>66</v>
      </c>
      <c r="H296">
        <v>1</v>
      </c>
    </row>
    <row r="297" spans="1:8" x14ac:dyDescent="0.3">
      <c r="A297">
        <v>361</v>
      </c>
      <c r="B297" s="1">
        <v>46164</v>
      </c>
      <c r="C297">
        <v>1010</v>
      </c>
      <c r="D297" t="s">
        <v>80</v>
      </c>
      <c r="E297">
        <v>832.23</v>
      </c>
      <c r="F297" t="s">
        <v>324</v>
      </c>
      <c r="G297">
        <v>66</v>
      </c>
      <c r="H297">
        <v>1</v>
      </c>
    </row>
    <row r="298" spans="1:8" x14ac:dyDescent="0.3">
      <c r="A298">
        <v>362</v>
      </c>
      <c r="B298" s="1">
        <v>46166</v>
      </c>
      <c r="C298">
        <v>5010</v>
      </c>
      <c r="D298" t="s">
        <v>173</v>
      </c>
      <c r="E298">
        <v>924.7</v>
      </c>
      <c r="F298" t="s">
        <v>323</v>
      </c>
      <c r="G298">
        <v>175</v>
      </c>
      <c r="H298">
        <v>1</v>
      </c>
    </row>
    <row r="299" spans="1:8" x14ac:dyDescent="0.3">
      <c r="A299">
        <v>363</v>
      </c>
      <c r="B299" s="1">
        <v>46166</v>
      </c>
      <c r="C299">
        <v>1010</v>
      </c>
      <c r="D299" t="s">
        <v>60</v>
      </c>
      <c r="E299">
        <v>924.7</v>
      </c>
      <c r="F299" t="s">
        <v>324</v>
      </c>
      <c r="G299">
        <v>175</v>
      </c>
      <c r="H299">
        <v>1</v>
      </c>
    </row>
    <row r="300" spans="1:8" x14ac:dyDescent="0.3">
      <c r="A300">
        <v>364</v>
      </c>
      <c r="B300" s="1">
        <v>46166</v>
      </c>
      <c r="C300">
        <v>5010</v>
      </c>
      <c r="D300" t="s">
        <v>174</v>
      </c>
      <c r="E300">
        <v>924.7</v>
      </c>
      <c r="F300" t="s">
        <v>323</v>
      </c>
      <c r="G300">
        <v>50</v>
      </c>
      <c r="H300">
        <v>1</v>
      </c>
    </row>
    <row r="301" spans="1:8" x14ac:dyDescent="0.3">
      <c r="A301">
        <v>365</v>
      </c>
      <c r="B301" s="1">
        <v>46166</v>
      </c>
      <c r="C301">
        <v>1010</v>
      </c>
      <c r="D301" t="s">
        <v>104</v>
      </c>
      <c r="E301">
        <v>924.7</v>
      </c>
      <c r="F301" t="s">
        <v>324</v>
      </c>
      <c r="G301">
        <v>50</v>
      </c>
      <c r="H301">
        <v>1</v>
      </c>
    </row>
    <row r="302" spans="1:8" x14ac:dyDescent="0.3">
      <c r="A302">
        <v>366</v>
      </c>
      <c r="B302" s="1">
        <v>46166</v>
      </c>
      <c r="C302">
        <v>5010</v>
      </c>
      <c r="D302" t="s">
        <v>168</v>
      </c>
      <c r="E302">
        <v>924.7</v>
      </c>
      <c r="F302" t="s">
        <v>323</v>
      </c>
      <c r="G302">
        <v>169</v>
      </c>
      <c r="H302">
        <v>1</v>
      </c>
    </row>
    <row r="303" spans="1:8" x14ac:dyDescent="0.3">
      <c r="A303">
        <v>367</v>
      </c>
      <c r="B303" s="1">
        <v>46166</v>
      </c>
      <c r="C303">
        <v>1010</v>
      </c>
      <c r="D303" t="s">
        <v>94</v>
      </c>
      <c r="E303">
        <v>924.7</v>
      </c>
      <c r="F303" t="s">
        <v>324</v>
      </c>
      <c r="G303">
        <v>169</v>
      </c>
      <c r="H303">
        <v>1</v>
      </c>
    </row>
    <row r="304" spans="1:8" x14ac:dyDescent="0.3">
      <c r="A304">
        <v>368</v>
      </c>
      <c r="B304" s="1">
        <v>46166</v>
      </c>
      <c r="C304">
        <v>5010</v>
      </c>
      <c r="D304" t="s">
        <v>175</v>
      </c>
      <c r="E304">
        <v>924.7</v>
      </c>
      <c r="F304" t="s">
        <v>323</v>
      </c>
      <c r="G304">
        <v>198</v>
      </c>
      <c r="H304">
        <v>1</v>
      </c>
    </row>
    <row r="305" spans="1:8" x14ac:dyDescent="0.3">
      <c r="A305">
        <v>369</v>
      </c>
      <c r="B305" s="1">
        <v>46166</v>
      </c>
      <c r="C305">
        <v>1010</v>
      </c>
      <c r="D305" t="s">
        <v>66</v>
      </c>
      <c r="E305">
        <v>924.7</v>
      </c>
      <c r="F305" t="s">
        <v>324</v>
      </c>
      <c r="G305">
        <v>198</v>
      </c>
      <c r="H305">
        <v>1</v>
      </c>
    </row>
    <row r="306" spans="1:8" x14ac:dyDescent="0.3">
      <c r="A306">
        <v>370</v>
      </c>
      <c r="B306" s="1">
        <v>46167</v>
      </c>
      <c r="C306">
        <v>5010</v>
      </c>
      <c r="D306" t="s">
        <v>177</v>
      </c>
      <c r="E306">
        <v>970.94</v>
      </c>
      <c r="F306" t="s">
        <v>323</v>
      </c>
      <c r="G306">
        <v>52</v>
      </c>
      <c r="H306">
        <v>1</v>
      </c>
    </row>
    <row r="307" spans="1:8" x14ac:dyDescent="0.3">
      <c r="A307">
        <v>371</v>
      </c>
      <c r="B307" s="1">
        <v>46167</v>
      </c>
      <c r="C307">
        <v>1010</v>
      </c>
      <c r="D307" t="s">
        <v>102</v>
      </c>
      <c r="E307">
        <v>970.94</v>
      </c>
      <c r="F307" t="s">
        <v>324</v>
      </c>
      <c r="G307">
        <v>52</v>
      </c>
      <c r="H307">
        <v>1</v>
      </c>
    </row>
    <row r="308" spans="1:8" x14ac:dyDescent="0.3">
      <c r="A308">
        <v>372</v>
      </c>
      <c r="B308" s="1">
        <v>46167</v>
      </c>
      <c r="C308">
        <v>5010</v>
      </c>
      <c r="D308" t="s">
        <v>176</v>
      </c>
      <c r="E308">
        <v>970.94</v>
      </c>
      <c r="F308" t="s">
        <v>323</v>
      </c>
      <c r="G308">
        <v>174</v>
      </c>
      <c r="H308">
        <v>1</v>
      </c>
    </row>
    <row r="309" spans="1:8" x14ac:dyDescent="0.3">
      <c r="A309">
        <v>373</v>
      </c>
      <c r="B309" s="1">
        <v>46167</v>
      </c>
      <c r="C309">
        <v>1010</v>
      </c>
      <c r="D309" t="s">
        <v>68</v>
      </c>
      <c r="E309">
        <v>970.94</v>
      </c>
      <c r="F309" t="s">
        <v>324</v>
      </c>
      <c r="G309">
        <v>174</v>
      </c>
      <c r="H309">
        <v>1</v>
      </c>
    </row>
    <row r="310" spans="1:8" x14ac:dyDescent="0.3">
      <c r="A310">
        <v>374</v>
      </c>
      <c r="B310" s="1">
        <v>46169</v>
      </c>
      <c r="C310">
        <v>5010</v>
      </c>
      <c r="D310" t="s">
        <v>225</v>
      </c>
      <c r="E310">
        <v>1063.4100000000001</v>
      </c>
      <c r="F310" t="s">
        <v>323</v>
      </c>
      <c r="G310">
        <v>28</v>
      </c>
      <c r="H310">
        <v>1</v>
      </c>
    </row>
    <row r="311" spans="1:8" x14ac:dyDescent="0.3">
      <c r="A311">
        <v>375</v>
      </c>
      <c r="B311" s="1">
        <v>46169</v>
      </c>
      <c r="C311">
        <v>1010</v>
      </c>
      <c r="D311" t="s">
        <v>78</v>
      </c>
      <c r="E311">
        <v>1063.4100000000001</v>
      </c>
      <c r="F311" t="s">
        <v>324</v>
      </c>
      <c r="G311">
        <v>28</v>
      </c>
      <c r="H311">
        <v>1</v>
      </c>
    </row>
    <row r="312" spans="1:8" x14ac:dyDescent="0.3">
      <c r="A312">
        <v>376</v>
      </c>
      <c r="B312" s="1">
        <v>46169</v>
      </c>
      <c r="C312">
        <v>5010</v>
      </c>
      <c r="D312" t="s">
        <v>226</v>
      </c>
      <c r="E312">
        <v>1063.4100000000001</v>
      </c>
      <c r="F312" t="s">
        <v>323</v>
      </c>
      <c r="G312">
        <v>129</v>
      </c>
      <c r="H312">
        <v>1</v>
      </c>
    </row>
    <row r="313" spans="1:8" x14ac:dyDescent="0.3">
      <c r="A313">
        <v>377</v>
      </c>
      <c r="B313" s="1">
        <v>46169</v>
      </c>
      <c r="C313">
        <v>1010</v>
      </c>
      <c r="D313" t="s">
        <v>56</v>
      </c>
      <c r="E313">
        <v>1063.4100000000001</v>
      </c>
      <c r="F313" t="s">
        <v>324</v>
      </c>
      <c r="G313">
        <v>129</v>
      </c>
      <c r="H313">
        <v>1</v>
      </c>
    </row>
    <row r="314" spans="1:8" x14ac:dyDescent="0.3">
      <c r="A314">
        <v>378</v>
      </c>
      <c r="B314" s="1">
        <v>46169</v>
      </c>
      <c r="C314">
        <v>5010</v>
      </c>
      <c r="D314" t="s">
        <v>227</v>
      </c>
      <c r="E314">
        <v>1063.4100000000001</v>
      </c>
      <c r="F314" t="s">
        <v>323</v>
      </c>
      <c r="G314">
        <v>173</v>
      </c>
      <c r="H314">
        <v>1</v>
      </c>
    </row>
    <row r="315" spans="1:8" x14ac:dyDescent="0.3">
      <c r="A315">
        <v>379</v>
      </c>
      <c r="B315" s="1">
        <v>46169</v>
      </c>
      <c r="C315">
        <v>1010</v>
      </c>
      <c r="D315" t="s">
        <v>108</v>
      </c>
      <c r="E315">
        <v>1063.4100000000001</v>
      </c>
      <c r="F315" t="s">
        <v>324</v>
      </c>
      <c r="G315">
        <v>173</v>
      </c>
      <c r="H315">
        <v>1</v>
      </c>
    </row>
    <row r="316" spans="1:8" x14ac:dyDescent="0.3">
      <c r="A316">
        <v>380</v>
      </c>
      <c r="B316" s="1">
        <v>46169</v>
      </c>
      <c r="C316">
        <v>5010</v>
      </c>
      <c r="D316" t="s">
        <v>180</v>
      </c>
      <c r="E316">
        <v>1063.4100000000001</v>
      </c>
      <c r="F316" t="s">
        <v>323</v>
      </c>
      <c r="G316">
        <v>114</v>
      </c>
      <c r="H316">
        <v>1</v>
      </c>
    </row>
    <row r="317" spans="1:8" x14ac:dyDescent="0.3">
      <c r="A317">
        <v>381</v>
      </c>
      <c r="B317" s="1">
        <v>46169</v>
      </c>
      <c r="C317">
        <v>1010</v>
      </c>
      <c r="D317" t="s">
        <v>100</v>
      </c>
      <c r="E317">
        <v>1063.4100000000001</v>
      </c>
      <c r="F317" t="s">
        <v>324</v>
      </c>
      <c r="G317">
        <v>114</v>
      </c>
      <c r="H317">
        <v>1</v>
      </c>
    </row>
    <row r="318" spans="1:8" x14ac:dyDescent="0.3">
      <c r="A318">
        <v>382</v>
      </c>
      <c r="B318" s="1">
        <v>46169</v>
      </c>
      <c r="C318">
        <v>5010</v>
      </c>
      <c r="D318" t="s">
        <v>228</v>
      </c>
      <c r="E318">
        <v>1063.4100000000001</v>
      </c>
      <c r="F318" t="s">
        <v>323</v>
      </c>
      <c r="G318">
        <v>363</v>
      </c>
      <c r="H318">
        <v>1</v>
      </c>
    </row>
    <row r="319" spans="1:8" x14ac:dyDescent="0.3">
      <c r="A319">
        <v>383</v>
      </c>
      <c r="B319" s="1">
        <v>46169</v>
      </c>
      <c r="C319">
        <v>1010</v>
      </c>
      <c r="D319" t="s">
        <v>116</v>
      </c>
      <c r="E319">
        <v>1063.4100000000001</v>
      </c>
      <c r="F319" t="s">
        <v>324</v>
      </c>
      <c r="G319">
        <v>363</v>
      </c>
      <c r="H319">
        <v>1</v>
      </c>
    </row>
    <row r="320" spans="1:8" x14ac:dyDescent="0.3">
      <c r="A320">
        <v>384</v>
      </c>
      <c r="B320" s="1">
        <v>46169</v>
      </c>
      <c r="C320">
        <v>5010</v>
      </c>
      <c r="D320" t="s">
        <v>181</v>
      </c>
      <c r="E320">
        <v>1063.4100000000001</v>
      </c>
      <c r="F320" t="s">
        <v>323</v>
      </c>
      <c r="G320">
        <v>22</v>
      </c>
      <c r="H320">
        <v>1</v>
      </c>
    </row>
    <row r="321" spans="1:8" x14ac:dyDescent="0.3">
      <c r="A321">
        <v>385</v>
      </c>
      <c r="B321" s="1">
        <v>46169</v>
      </c>
      <c r="C321">
        <v>1010</v>
      </c>
      <c r="D321" t="s">
        <v>114</v>
      </c>
      <c r="E321">
        <v>1063.4100000000001</v>
      </c>
      <c r="F321" t="s">
        <v>324</v>
      </c>
      <c r="G321">
        <v>22</v>
      </c>
      <c r="H321">
        <v>1</v>
      </c>
    </row>
    <row r="322" spans="1:8" x14ac:dyDescent="0.3">
      <c r="A322">
        <v>386</v>
      </c>
      <c r="B322" s="1">
        <v>46169</v>
      </c>
      <c r="C322">
        <v>5010</v>
      </c>
      <c r="D322" t="s">
        <v>182</v>
      </c>
      <c r="E322">
        <v>1063.4100000000001</v>
      </c>
      <c r="F322" t="s">
        <v>323</v>
      </c>
      <c r="G322">
        <v>7</v>
      </c>
      <c r="H322">
        <v>1</v>
      </c>
    </row>
    <row r="323" spans="1:8" x14ac:dyDescent="0.3">
      <c r="A323">
        <v>387</v>
      </c>
      <c r="B323" s="1">
        <v>46169</v>
      </c>
      <c r="C323">
        <v>1010</v>
      </c>
      <c r="D323" t="s">
        <v>70</v>
      </c>
      <c r="E323">
        <v>1063.4100000000001</v>
      </c>
      <c r="F323" t="s">
        <v>324</v>
      </c>
      <c r="G323">
        <v>7</v>
      </c>
      <c r="H323">
        <v>1</v>
      </c>
    </row>
    <row r="324" spans="1:8" x14ac:dyDescent="0.3">
      <c r="A324">
        <v>388</v>
      </c>
      <c r="B324" s="1">
        <v>46169</v>
      </c>
      <c r="C324">
        <v>5010</v>
      </c>
      <c r="D324" t="s">
        <v>183</v>
      </c>
      <c r="E324">
        <v>1063.4100000000001</v>
      </c>
      <c r="F324" t="s">
        <v>323</v>
      </c>
      <c r="G324">
        <v>23</v>
      </c>
      <c r="H324">
        <v>1</v>
      </c>
    </row>
    <row r="325" spans="1:8" x14ac:dyDescent="0.3">
      <c r="A325">
        <v>389</v>
      </c>
      <c r="B325" s="1">
        <v>46169</v>
      </c>
      <c r="C325">
        <v>1010</v>
      </c>
      <c r="D325" t="s">
        <v>96</v>
      </c>
      <c r="E325">
        <v>1063.4100000000001</v>
      </c>
      <c r="F325" t="s">
        <v>324</v>
      </c>
      <c r="G325">
        <v>23</v>
      </c>
      <c r="H325">
        <v>1</v>
      </c>
    </row>
    <row r="326" spans="1:8" x14ac:dyDescent="0.3">
      <c r="A326">
        <v>390</v>
      </c>
      <c r="B326" s="1">
        <v>46169</v>
      </c>
      <c r="C326">
        <v>5010</v>
      </c>
      <c r="D326" t="s">
        <v>184</v>
      </c>
      <c r="E326">
        <v>1063.4100000000001</v>
      </c>
      <c r="F326" t="s">
        <v>323</v>
      </c>
      <c r="G326">
        <v>200</v>
      </c>
      <c r="H326">
        <v>1</v>
      </c>
    </row>
    <row r="327" spans="1:8" x14ac:dyDescent="0.3">
      <c r="A327">
        <v>391</v>
      </c>
      <c r="B327" s="1">
        <v>46169</v>
      </c>
      <c r="C327">
        <v>1010</v>
      </c>
      <c r="D327" t="s">
        <v>120</v>
      </c>
      <c r="E327">
        <v>1063.4100000000001</v>
      </c>
      <c r="F327" t="s">
        <v>324</v>
      </c>
      <c r="G327">
        <v>200</v>
      </c>
      <c r="H327">
        <v>1</v>
      </c>
    </row>
    <row r="328" spans="1:8" x14ac:dyDescent="0.3">
      <c r="A328">
        <v>392</v>
      </c>
      <c r="B328" s="1">
        <v>46169</v>
      </c>
      <c r="C328">
        <v>5010</v>
      </c>
      <c r="D328" t="s">
        <v>185</v>
      </c>
      <c r="E328">
        <v>1063.4100000000001</v>
      </c>
      <c r="F328" t="s">
        <v>323</v>
      </c>
      <c r="G328">
        <v>197</v>
      </c>
      <c r="H328">
        <v>1</v>
      </c>
    </row>
    <row r="329" spans="1:8" x14ac:dyDescent="0.3">
      <c r="A329">
        <v>393</v>
      </c>
      <c r="B329" s="1">
        <v>46169</v>
      </c>
      <c r="C329">
        <v>1010</v>
      </c>
      <c r="D329" t="s">
        <v>64</v>
      </c>
      <c r="E329">
        <v>1063.4100000000001</v>
      </c>
      <c r="F329" t="s">
        <v>324</v>
      </c>
      <c r="G329">
        <v>197</v>
      </c>
      <c r="H329">
        <v>1</v>
      </c>
    </row>
    <row r="330" spans="1:8" x14ac:dyDescent="0.3">
      <c r="A330">
        <v>394</v>
      </c>
      <c r="B330" s="1">
        <v>46169</v>
      </c>
      <c r="C330">
        <v>5010</v>
      </c>
      <c r="D330" t="s">
        <v>186</v>
      </c>
      <c r="E330">
        <v>1063.4100000000001</v>
      </c>
      <c r="F330" t="s">
        <v>323</v>
      </c>
      <c r="G330">
        <v>172</v>
      </c>
      <c r="H330">
        <v>1</v>
      </c>
    </row>
    <row r="331" spans="1:8" x14ac:dyDescent="0.3">
      <c r="A331">
        <v>395</v>
      </c>
      <c r="B331" s="1">
        <v>46169</v>
      </c>
      <c r="C331">
        <v>1010</v>
      </c>
      <c r="D331" t="s">
        <v>118</v>
      </c>
      <c r="E331">
        <v>1063.4100000000001</v>
      </c>
      <c r="F331" t="s">
        <v>324</v>
      </c>
      <c r="G331">
        <v>172</v>
      </c>
      <c r="H331">
        <v>1</v>
      </c>
    </row>
    <row r="332" spans="1:8" x14ac:dyDescent="0.3">
      <c r="A332">
        <v>396</v>
      </c>
      <c r="B332" s="1">
        <v>46169</v>
      </c>
      <c r="C332">
        <v>5010</v>
      </c>
      <c r="D332" t="s">
        <v>187</v>
      </c>
      <c r="E332">
        <v>1063.4100000000001</v>
      </c>
      <c r="F332" t="s">
        <v>323</v>
      </c>
      <c r="G332">
        <v>59</v>
      </c>
      <c r="H332">
        <v>1</v>
      </c>
    </row>
    <row r="333" spans="1:8" x14ac:dyDescent="0.3">
      <c r="A333">
        <v>397</v>
      </c>
      <c r="B333" s="1">
        <v>46169</v>
      </c>
      <c r="C333">
        <v>1010</v>
      </c>
      <c r="D333" t="s">
        <v>82</v>
      </c>
      <c r="E333">
        <v>1063.4100000000001</v>
      </c>
      <c r="F333" t="s">
        <v>324</v>
      </c>
      <c r="G333">
        <v>59</v>
      </c>
      <c r="H333">
        <v>1</v>
      </c>
    </row>
    <row r="334" spans="1:8" x14ac:dyDescent="0.3">
      <c r="A334">
        <v>398</v>
      </c>
      <c r="B334" s="1">
        <v>46169</v>
      </c>
      <c r="C334">
        <v>5010</v>
      </c>
      <c r="D334" t="s">
        <v>188</v>
      </c>
      <c r="E334">
        <v>1063.4100000000001</v>
      </c>
      <c r="F334" t="s">
        <v>323</v>
      </c>
      <c r="G334">
        <v>364</v>
      </c>
      <c r="H334">
        <v>1</v>
      </c>
    </row>
    <row r="335" spans="1:8" x14ac:dyDescent="0.3">
      <c r="A335">
        <v>399</v>
      </c>
      <c r="B335" s="1">
        <v>46169</v>
      </c>
      <c r="C335">
        <v>1010</v>
      </c>
      <c r="D335" t="s">
        <v>112</v>
      </c>
      <c r="E335">
        <v>1063.4100000000001</v>
      </c>
      <c r="F335" t="s">
        <v>324</v>
      </c>
      <c r="G335">
        <v>364</v>
      </c>
      <c r="H335">
        <v>1</v>
      </c>
    </row>
    <row r="336" spans="1:8" x14ac:dyDescent="0.3">
      <c r="A336">
        <v>400</v>
      </c>
      <c r="B336" s="1">
        <v>46169</v>
      </c>
      <c r="C336">
        <v>5010</v>
      </c>
      <c r="D336" t="s">
        <v>189</v>
      </c>
      <c r="E336">
        <v>1063.4100000000001</v>
      </c>
      <c r="F336" t="s">
        <v>323</v>
      </c>
      <c r="G336">
        <v>344</v>
      </c>
      <c r="H336">
        <v>1</v>
      </c>
    </row>
    <row r="337" spans="1:8" x14ac:dyDescent="0.3">
      <c r="A337">
        <v>401</v>
      </c>
      <c r="B337" s="1">
        <v>46169</v>
      </c>
      <c r="C337">
        <v>1010</v>
      </c>
      <c r="D337" t="s">
        <v>90</v>
      </c>
      <c r="E337">
        <v>1063.4100000000001</v>
      </c>
      <c r="F337" t="s">
        <v>324</v>
      </c>
      <c r="G337">
        <v>344</v>
      </c>
      <c r="H337">
        <v>1</v>
      </c>
    </row>
    <row r="338" spans="1:8" x14ac:dyDescent="0.3">
      <c r="A338">
        <v>402</v>
      </c>
      <c r="B338" s="1">
        <v>46169</v>
      </c>
      <c r="C338">
        <v>5010</v>
      </c>
      <c r="D338" t="s">
        <v>190</v>
      </c>
      <c r="E338">
        <v>1063.4100000000001</v>
      </c>
      <c r="F338" t="s">
        <v>323</v>
      </c>
      <c r="G338">
        <v>361</v>
      </c>
      <c r="H338">
        <v>1</v>
      </c>
    </row>
    <row r="339" spans="1:8" x14ac:dyDescent="0.3">
      <c r="A339">
        <v>403</v>
      </c>
      <c r="B339" s="1">
        <v>46169</v>
      </c>
      <c r="C339">
        <v>1010</v>
      </c>
      <c r="D339" t="s">
        <v>98</v>
      </c>
      <c r="E339">
        <v>1063.4100000000001</v>
      </c>
      <c r="F339" t="s">
        <v>324</v>
      </c>
      <c r="G339">
        <v>361</v>
      </c>
      <c r="H339">
        <v>1</v>
      </c>
    </row>
    <row r="340" spans="1:8" x14ac:dyDescent="0.3">
      <c r="A340">
        <v>404</v>
      </c>
      <c r="B340" s="1">
        <v>46169</v>
      </c>
      <c r="C340">
        <v>5010</v>
      </c>
      <c r="D340" t="s">
        <v>191</v>
      </c>
      <c r="E340">
        <v>1063.4100000000001</v>
      </c>
      <c r="F340" t="s">
        <v>323</v>
      </c>
      <c r="G340">
        <v>179</v>
      </c>
      <c r="H340">
        <v>1</v>
      </c>
    </row>
    <row r="341" spans="1:8" x14ac:dyDescent="0.3">
      <c r="A341">
        <v>405</v>
      </c>
      <c r="B341" s="1">
        <v>46169</v>
      </c>
      <c r="C341">
        <v>1010</v>
      </c>
      <c r="D341" t="s">
        <v>50</v>
      </c>
      <c r="E341">
        <v>1063.4100000000001</v>
      </c>
      <c r="F341" t="s">
        <v>324</v>
      </c>
      <c r="G341">
        <v>179</v>
      </c>
      <c r="H341">
        <v>1</v>
      </c>
    </row>
    <row r="342" spans="1:8" x14ac:dyDescent="0.3">
      <c r="A342">
        <v>406</v>
      </c>
      <c r="B342" s="1">
        <v>46169</v>
      </c>
      <c r="C342">
        <v>1010</v>
      </c>
      <c r="D342" t="s">
        <v>223</v>
      </c>
      <c r="E342">
        <v>13952</v>
      </c>
      <c r="F342" t="s">
        <v>323</v>
      </c>
      <c r="G342">
        <v>344</v>
      </c>
      <c r="H342">
        <v>1</v>
      </c>
    </row>
    <row r="343" spans="1:8" x14ac:dyDescent="0.3">
      <c r="A343">
        <v>407</v>
      </c>
      <c r="B343" s="1">
        <v>46169</v>
      </c>
      <c r="C343">
        <v>4010</v>
      </c>
      <c r="D343" t="s">
        <v>224</v>
      </c>
      <c r="E343">
        <v>13952</v>
      </c>
      <c r="F343" t="s">
        <v>324</v>
      </c>
      <c r="G343">
        <v>344</v>
      </c>
      <c r="H343">
        <v>1</v>
      </c>
    </row>
    <row r="344" spans="1:8" x14ac:dyDescent="0.3">
      <c r="A344">
        <v>408</v>
      </c>
      <c r="B344" s="1">
        <v>46245</v>
      </c>
      <c r="C344">
        <v>1010</v>
      </c>
      <c r="D344" t="s">
        <v>233</v>
      </c>
      <c r="E344">
        <v>13640</v>
      </c>
      <c r="F344" t="s">
        <v>323</v>
      </c>
      <c r="G344">
        <v>376</v>
      </c>
      <c r="H344">
        <v>1</v>
      </c>
    </row>
    <row r="345" spans="1:8" x14ac:dyDescent="0.3">
      <c r="A345">
        <v>409</v>
      </c>
      <c r="B345" s="1">
        <v>46245</v>
      </c>
      <c r="C345">
        <v>4010</v>
      </c>
      <c r="D345" t="s">
        <v>233</v>
      </c>
      <c r="E345">
        <v>13640</v>
      </c>
      <c r="F345" t="s">
        <v>324</v>
      </c>
      <c r="G345">
        <v>376</v>
      </c>
      <c r="H345">
        <v>1</v>
      </c>
    </row>
    <row r="346" spans="1:8" x14ac:dyDescent="0.3">
      <c r="A346">
        <v>414</v>
      </c>
      <c r="B346" s="1">
        <v>46169</v>
      </c>
      <c r="C346">
        <v>1010</v>
      </c>
      <c r="D346" t="s">
        <v>218</v>
      </c>
      <c r="E346">
        <v>110835</v>
      </c>
      <c r="F346" t="s">
        <v>324</v>
      </c>
      <c r="H346">
        <v>1</v>
      </c>
    </row>
    <row r="347" spans="1:8" x14ac:dyDescent="0.3">
      <c r="A347">
        <v>415</v>
      </c>
      <c r="B347" s="1">
        <v>46169</v>
      </c>
      <c r="C347">
        <v>5070</v>
      </c>
      <c r="D347" t="s">
        <v>218</v>
      </c>
      <c r="E347">
        <v>110835</v>
      </c>
      <c r="F347" t="s">
        <v>323</v>
      </c>
      <c r="H347">
        <v>1</v>
      </c>
    </row>
    <row r="348" spans="1:8" x14ac:dyDescent="0.3">
      <c r="A348">
        <v>416</v>
      </c>
      <c r="B348" s="1">
        <v>46169</v>
      </c>
      <c r="C348">
        <v>1010</v>
      </c>
      <c r="D348" t="s">
        <v>216</v>
      </c>
      <c r="E348">
        <v>131360</v>
      </c>
      <c r="F348" t="s">
        <v>323</v>
      </c>
      <c r="H348">
        <v>1</v>
      </c>
    </row>
    <row r="349" spans="1:8" x14ac:dyDescent="0.3">
      <c r="A349">
        <v>417</v>
      </c>
      <c r="B349" s="1">
        <v>46169</v>
      </c>
      <c r="C349">
        <v>4010</v>
      </c>
      <c r="D349" t="s">
        <v>216</v>
      </c>
      <c r="E349">
        <v>131360</v>
      </c>
      <c r="F349" t="s">
        <v>324</v>
      </c>
      <c r="H349">
        <v>1</v>
      </c>
    </row>
    <row r="350" spans="1:8" x14ac:dyDescent="0.3">
      <c r="A350">
        <v>418</v>
      </c>
      <c r="B350" s="1">
        <v>46023</v>
      </c>
      <c r="C350">
        <v>1010</v>
      </c>
      <c r="D350" t="s">
        <v>44</v>
      </c>
      <c r="E350">
        <v>300000</v>
      </c>
      <c r="F350" t="s">
        <v>323</v>
      </c>
      <c r="H350">
        <v>1</v>
      </c>
    </row>
    <row r="351" spans="1:8" x14ac:dyDescent="0.3">
      <c r="A351">
        <v>419</v>
      </c>
      <c r="B351" s="1">
        <v>46023</v>
      </c>
      <c r="C351">
        <v>3010</v>
      </c>
      <c r="D351" t="s">
        <v>44</v>
      </c>
      <c r="E351">
        <v>300000</v>
      </c>
      <c r="F351" t="s">
        <v>324</v>
      </c>
      <c r="H351">
        <v>1</v>
      </c>
    </row>
    <row r="352" spans="1:8" x14ac:dyDescent="0.3">
      <c r="A352">
        <v>420</v>
      </c>
      <c r="B352" s="1">
        <v>46169</v>
      </c>
      <c r="C352">
        <v>5010</v>
      </c>
      <c r="D352" t="s">
        <v>219</v>
      </c>
      <c r="E352">
        <v>1623</v>
      </c>
      <c r="F352" t="s">
        <v>323</v>
      </c>
      <c r="G352">
        <v>101</v>
      </c>
      <c r="H352">
        <v>1</v>
      </c>
    </row>
    <row r="353" spans="1:8" x14ac:dyDescent="0.3">
      <c r="A353">
        <v>421</v>
      </c>
      <c r="B353" s="1">
        <v>46169</v>
      </c>
      <c r="C353">
        <v>1010</v>
      </c>
      <c r="D353" t="s">
        <v>219</v>
      </c>
      <c r="E353">
        <v>1623</v>
      </c>
      <c r="F353" t="s">
        <v>324</v>
      </c>
      <c r="H353">
        <v>1</v>
      </c>
    </row>
    <row r="354" spans="1:8" x14ac:dyDescent="0.3">
      <c r="A354">
        <v>422</v>
      </c>
      <c r="B354" s="1">
        <v>46244</v>
      </c>
      <c r="C354">
        <v>1010</v>
      </c>
      <c r="D354" t="s">
        <v>48</v>
      </c>
      <c r="E354">
        <v>19208</v>
      </c>
      <c r="F354" t="s">
        <v>324</v>
      </c>
      <c r="H354">
        <v>1</v>
      </c>
    </row>
    <row r="355" spans="1:8" x14ac:dyDescent="0.3">
      <c r="A355">
        <v>423</v>
      </c>
      <c r="B355" s="1">
        <v>46244</v>
      </c>
      <c r="C355">
        <v>5010</v>
      </c>
      <c r="D355" t="s">
        <v>48</v>
      </c>
      <c r="E355">
        <v>19208</v>
      </c>
      <c r="F355" t="s">
        <v>323</v>
      </c>
      <c r="H355">
        <v>1</v>
      </c>
    </row>
    <row r="356" spans="1:8" x14ac:dyDescent="0.3">
      <c r="A356">
        <v>424</v>
      </c>
      <c r="B356" s="1">
        <v>46244</v>
      </c>
      <c r="C356">
        <v>1010</v>
      </c>
      <c r="D356" t="s">
        <v>48</v>
      </c>
      <c r="E356">
        <v>20237</v>
      </c>
      <c r="F356" t="s">
        <v>324</v>
      </c>
      <c r="H356">
        <v>1</v>
      </c>
    </row>
    <row r="357" spans="1:8" x14ac:dyDescent="0.3">
      <c r="A357">
        <v>425</v>
      </c>
      <c r="B357" s="1">
        <v>46244</v>
      </c>
      <c r="C357">
        <v>5010</v>
      </c>
      <c r="D357" t="s">
        <v>48</v>
      </c>
      <c r="E357">
        <v>20237</v>
      </c>
      <c r="F357" t="s">
        <v>323</v>
      </c>
      <c r="H357">
        <v>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53B87-5631-4DB2-BBE7-25C246FF31E4}">
  <sheetPr>
    <pageSetUpPr fitToPage="1"/>
  </sheetPr>
  <dimension ref="A1:L201"/>
  <sheetViews>
    <sheetView workbookViewId="0">
      <selection activeCell="A23" sqref="A23:XFD23"/>
    </sheetView>
  </sheetViews>
  <sheetFormatPr defaultRowHeight="14.4" x14ac:dyDescent="0.3"/>
  <cols>
    <col min="1" max="1" width="9.109375" bestFit="1" customWidth="1"/>
    <col min="2" max="2" width="14" bestFit="1" customWidth="1"/>
    <col min="3" max="3" width="13.109375" customWidth="1"/>
    <col min="4" max="4" width="12" customWidth="1"/>
    <col min="5" max="5" width="17.6640625" customWidth="1"/>
    <col min="6" max="6" width="16.109375" bestFit="1" customWidth="1"/>
    <col min="7" max="7" width="28.109375" bestFit="1" customWidth="1"/>
    <col min="8" max="8" width="14.5546875" bestFit="1" customWidth="1"/>
    <col min="9" max="9" width="15.77734375" bestFit="1" customWidth="1"/>
    <col min="10" max="10" width="11.5546875" bestFit="1" customWidth="1"/>
    <col min="11" max="11" width="11.21875" bestFit="1" customWidth="1"/>
    <col min="12" max="12" width="15.44140625" bestFit="1" customWidth="1"/>
  </cols>
  <sheetData>
    <row r="1" spans="1:12" x14ac:dyDescent="0.3">
      <c r="A1" t="s">
        <v>1</v>
      </c>
      <c r="B1" t="s">
        <v>15</v>
      </c>
      <c r="C1" t="s">
        <v>16</v>
      </c>
      <c r="D1" t="s">
        <v>30</v>
      </c>
      <c r="E1" t="s">
        <v>29</v>
      </c>
      <c r="F1" t="s">
        <v>32</v>
      </c>
      <c r="G1" t="s">
        <v>5</v>
      </c>
      <c r="H1" t="s">
        <v>279</v>
      </c>
      <c r="I1" t="s">
        <v>280</v>
      </c>
      <c r="J1" t="s">
        <v>281</v>
      </c>
      <c r="K1" t="s">
        <v>282</v>
      </c>
      <c r="L1" t="s">
        <v>283</v>
      </c>
    </row>
    <row r="2" spans="1:12" hidden="1" x14ac:dyDescent="0.3">
      <c r="A2">
        <v>1</v>
      </c>
      <c r="B2" t="s">
        <v>18</v>
      </c>
      <c r="C2" t="s">
        <v>19</v>
      </c>
      <c r="D2" s="1">
        <v>45717</v>
      </c>
      <c r="E2" s="1">
        <v>46075</v>
      </c>
      <c r="F2">
        <v>0</v>
      </c>
      <c r="G2" t="s">
        <v>242</v>
      </c>
      <c r="H2" t="s">
        <v>242</v>
      </c>
      <c r="I2" t="s">
        <v>242</v>
      </c>
      <c r="K2" s="1"/>
      <c r="L2" t="b">
        <v>0</v>
      </c>
    </row>
    <row r="3" spans="1:12" hidden="1" x14ac:dyDescent="0.3">
      <c r="A3">
        <v>2</v>
      </c>
      <c r="B3" t="s">
        <v>18</v>
      </c>
      <c r="C3" t="s">
        <v>19</v>
      </c>
      <c r="D3" s="1">
        <v>45717</v>
      </c>
      <c r="E3" s="1">
        <v>46075</v>
      </c>
      <c r="F3">
        <v>0</v>
      </c>
      <c r="G3" t="s">
        <v>242</v>
      </c>
      <c r="H3" t="s">
        <v>242</v>
      </c>
      <c r="I3" t="s">
        <v>242</v>
      </c>
      <c r="K3" s="1"/>
      <c r="L3" t="b">
        <v>0</v>
      </c>
    </row>
    <row r="4" spans="1:12" hidden="1" x14ac:dyDescent="0.3">
      <c r="A4">
        <v>3</v>
      </c>
      <c r="B4" t="s">
        <v>18</v>
      </c>
      <c r="C4" t="s">
        <v>19</v>
      </c>
      <c r="D4" s="1">
        <v>45717</v>
      </c>
      <c r="E4" s="1">
        <v>46075</v>
      </c>
      <c r="F4">
        <v>0</v>
      </c>
      <c r="G4" t="s">
        <v>242</v>
      </c>
      <c r="H4" t="s">
        <v>242</v>
      </c>
      <c r="I4" t="s">
        <v>242</v>
      </c>
      <c r="K4" s="1"/>
      <c r="L4" t="b">
        <v>0</v>
      </c>
    </row>
    <row r="5" spans="1:12" hidden="1" x14ac:dyDescent="0.3">
      <c r="A5">
        <v>4</v>
      </c>
      <c r="B5" t="s">
        <v>20</v>
      </c>
      <c r="C5" t="s">
        <v>19</v>
      </c>
      <c r="D5" s="1">
        <v>45717</v>
      </c>
      <c r="E5" s="1">
        <v>46075</v>
      </c>
      <c r="F5">
        <v>0</v>
      </c>
      <c r="G5" t="s">
        <v>242</v>
      </c>
      <c r="H5" t="s">
        <v>242</v>
      </c>
      <c r="I5" t="s">
        <v>242</v>
      </c>
      <c r="K5" s="1"/>
      <c r="L5" t="b">
        <v>0</v>
      </c>
    </row>
    <row r="6" spans="1:12" hidden="1" x14ac:dyDescent="0.3">
      <c r="A6">
        <v>5</v>
      </c>
      <c r="B6" t="s">
        <v>21</v>
      </c>
      <c r="C6" t="s">
        <v>22</v>
      </c>
      <c r="D6" s="1">
        <v>46082</v>
      </c>
      <c r="E6" s="1">
        <v>46075</v>
      </c>
      <c r="F6">
        <v>0</v>
      </c>
      <c r="G6" t="s">
        <v>375</v>
      </c>
      <c r="H6" t="s">
        <v>242</v>
      </c>
      <c r="I6" t="s">
        <v>242</v>
      </c>
      <c r="J6">
        <v>0</v>
      </c>
      <c r="K6" s="1">
        <v>46177</v>
      </c>
      <c r="L6" t="b">
        <v>0</v>
      </c>
    </row>
    <row r="7" spans="1:12" hidden="1" x14ac:dyDescent="0.3">
      <c r="A7">
        <v>6</v>
      </c>
      <c r="B7" t="s">
        <v>18</v>
      </c>
      <c r="C7" t="s">
        <v>19</v>
      </c>
      <c r="D7" s="1">
        <v>45717</v>
      </c>
      <c r="E7" s="1">
        <v>46075</v>
      </c>
      <c r="F7">
        <v>0</v>
      </c>
      <c r="G7" t="s">
        <v>242</v>
      </c>
      <c r="H7" t="s">
        <v>242</v>
      </c>
      <c r="I7" t="s">
        <v>242</v>
      </c>
      <c r="K7" s="1"/>
      <c r="L7" t="b">
        <v>0</v>
      </c>
    </row>
    <row r="8" spans="1:12" x14ac:dyDescent="0.3">
      <c r="A8">
        <v>7</v>
      </c>
      <c r="B8" t="s">
        <v>36</v>
      </c>
      <c r="C8" t="s">
        <v>12</v>
      </c>
      <c r="D8" s="1">
        <v>45931</v>
      </c>
      <c r="E8" s="1">
        <v>46075</v>
      </c>
      <c r="F8">
        <v>7200</v>
      </c>
      <c r="G8" t="s">
        <v>284</v>
      </c>
      <c r="H8" t="s">
        <v>242</v>
      </c>
      <c r="I8" t="s">
        <v>242</v>
      </c>
      <c r="J8">
        <v>14816</v>
      </c>
      <c r="K8" s="1">
        <v>46169</v>
      </c>
      <c r="L8" t="b">
        <v>1</v>
      </c>
    </row>
    <row r="9" spans="1:12" hidden="1" x14ac:dyDescent="0.3">
      <c r="A9">
        <v>8</v>
      </c>
      <c r="B9" t="s">
        <v>20</v>
      </c>
      <c r="C9" t="s">
        <v>19</v>
      </c>
      <c r="D9" s="1">
        <v>45717</v>
      </c>
      <c r="E9" s="1">
        <v>46075</v>
      </c>
      <c r="F9">
        <v>0</v>
      </c>
      <c r="G9" t="s">
        <v>242</v>
      </c>
      <c r="H9" t="s">
        <v>242</v>
      </c>
      <c r="I9" t="s">
        <v>242</v>
      </c>
      <c r="K9" s="1"/>
      <c r="L9" t="b">
        <v>0</v>
      </c>
    </row>
    <row r="10" spans="1:12" hidden="1" x14ac:dyDescent="0.3">
      <c r="A10">
        <v>9</v>
      </c>
      <c r="B10" t="s">
        <v>18</v>
      </c>
      <c r="C10" t="s">
        <v>19</v>
      </c>
      <c r="D10" s="1">
        <v>46082</v>
      </c>
      <c r="E10" s="1">
        <v>46075</v>
      </c>
      <c r="F10">
        <v>0</v>
      </c>
      <c r="G10" t="s">
        <v>242</v>
      </c>
      <c r="H10" t="s">
        <v>242</v>
      </c>
      <c r="I10" t="s">
        <v>242</v>
      </c>
      <c r="K10" s="1"/>
      <c r="L10" t="b">
        <v>0</v>
      </c>
    </row>
    <row r="11" spans="1:12" hidden="1" x14ac:dyDescent="0.3">
      <c r="A11">
        <v>10</v>
      </c>
      <c r="B11" t="s">
        <v>18</v>
      </c>
      <c r="C11" t="s">
        <v>19</v>
      </c>
      <c r="D11" s="1">
        <v>45717</v>
      </c>
      <c r="E11" s="1">
        <v>46075</v>
      </c>
      <c r="F11">
        <v>0</v>
      </c>
      <c r="G11" t="s">
        <v>242</v>
      </c>
      <c r="H11" t="s">
        <v>242</v>
      </c>
      <c r="I11" t="s">
        <v>242</v>
      </c>
      <c r="K11" s="1"/>
      <c r="L11" t="b">
        <v>0</v>
      </c>
    </row>
    <row r="12" spans="1:12" hidden="1" x14ac:dyDescent="0.3">
      <c r="A12">
        <v>11</v>
      </c>
      <c r="B12" t="s">
        <v>20</v>
      </c>
      <c r="C12" t="s">
        <v>19</v>
      </c>
      <c r="D12" s="1">
        <v>45717</v>
      </c>
      <c r="E12" s="1">
        <v>46075</v>
      </c>
      <c r="F12">
        <v>0</v>
      </c>
      <c r="G12" t="s">
        <v>242</v>
      </c>
      <c r="H12" t="s">
        <v>242</v>
      </c>
      <c r="I12" t="s">
        <v>242</v>
      </c>
      <c r="K12" s="1"/>
      <c r="L12" t="b">
        <v>0</v>
      </c>
    </row>
    <row r="13" spans="1:12" hidden="1" x14ac:dyDescent="0.3">
      <c r="A13">
        <v>12</v>
      </c>
      <c r="B13" t="s">
        <v>18</v>
      </c>
      <c r="C13" t="s">
        <v>19</v>
      </c>
      <c r="D13" s="1">
        <v>45717</v>
      </c>
      <c r="E13" s="1">
        <v>46075</v>
      </c>
      <c r="F13">
        <v>0</v>
      </c>
      <c r="G13" t="s">
        <v>242</v>
      </c>
      <c r="H13" t="s">
        <v>242</v>
      </c>
      <c r="I13" t="s">
        <v>242</v>
      </c>
      <c r="K13" s="1"/>
      <c r="L13" t="b">
        <v>0</v>
      </c>
    </row>
    <row r="14" spans="1:12" hidden="1" x14ac:dyDescent="0.3">
      <c r="A14">
        <v>14</v>
      </c>
      <c r="B14" t="s">
        <v>23</v>
      </c>
      <c r="C14" t="s">
        <v>19</v>
      </c>
      <c r="D14" s="1">
        <v>46082</v>
      </c>
      <c r="E14" s="1">
        <v>46075</v>
      </c>
      <c r="F14">
        <v>0</v>
      </c>
      <c r="G14" t="s">
        <v>242</v>
      </c>
      <c r="H14" t="s">
        <v>242</v>
      </c>
      <c r="I14" t="s">
        <v>242</v>
      </c>
      <c r="K14" s="1"/>
      <c r="L14" t="b">
        <v>0</v>
      </c>
    </row>
    <row r="15" spans="1:12" hidden="1" x14ac:dyDescent="0.3">
      <c r="A15">
        <v>15</v>
      </c>
      <c r="B15" t="s">
        <v>18</v>
      </c>
      <c r="C15" t="s">
        <v>19</v>
      </c>
      <c r="D15" s="1">
        <v>45717</v>
      </c>
      <c r="E15" s="1">
        <v>46075</v>
      </c>
      <c r="F15">
        <v>0</v>
      </c>
      <c r="G15" t="s">
        <v>242</v>
      </c>
      <c r="H15" t="s">
        <v>242</v>
      </c>
      <c r="I15" t="s">
        <v>242</v>
      </c>
      <c r="K15" s="1"/>
      <c r="L15" t="b">
        <v>0</v>
      </c>
    </row>
    <row r="16" spans="1:12" hidden="1" x14ac:dyDescent="0.3">
      <c r="A16">
        <v>16</v>
      </c>
      <c r="B16" t="s">
        <v>20</v>
      </c>
      <c r="C16" t="s">
        <v>19</v>
      </c>
      <c r="D16" s="1">
        <v>45717</v>
      </c>
      <c r="E16" s="1">
        <v>46075</v>
      </c>
      <c r="F16">
        <v>0</v>
      </c>
      <c r="G16" t="s">
        <v>242</v>
      </c>
      <c r="H16" t="s">
        <v>242</v>
      </c>
      <c r="I16" t="s">
        <v>242</v>
      </c>
      <c r="K16" s="1"/>
      <c r="L16" t="b">
        <v>0</v>
      </c>
    </row>
    <row r="17" spans="1:12" hidden="1" x14ac:dyDescent="0.3">
      <c r="A17">
        <v>18</v>
      </c>
      <c r="B17" t="s">
        <v>18</v>
      </c>
      <c r="C17" t="s">
        <v>19</v>
      </c>
      <c r="D17" s="1">
        <v>45717</v>
      </c>
      <c r="E17" s="1">
        <v>46075</v>
      </c>
      <c r="F17">
        <v>0</v>
      </c>
      <c r="G17" t="s">
        <v>242</v>
      </c>
      <c r="H17" t="s">
        <v>242</v>
      </c>
      <c r="I17" t="s">
        <v>242</v>
      </c>
      <c r="K17" s="1"/>
      <c r="L17" t="b">
        <v>0</v>
      </c>
    </row>
    <row r="18" spans="1:12" hidden="1" x14ac:dyDescent="0.3">
      <c r="A18">
        <v>20</v>
      </c>
      <c r="B18" t="s">
        <v>20</v>
      </c>
      <c r="C18" t="s">
        <v>19</v>
      </c>
      <c r="D18" s="1">
        <v>46082</v>
      </c>
      <c r="E18" s="1">
        <v>46075</v>
      </c>
      <c r="F18">
        <v>0</v>
      </c>
      <c r="G18" t="s">
        <v>242</v>
      </c>
      <c r="H18" t="s">
        <v>242</v>
      </c>
      <c r="I18" t="s">
        <v>242</v>
      </c>
      <c r="K18" s="1"/>
      <c r="L18" t="b">
        <v>0</v>
      </c>
    </row>
    <row r="19" spans="1:12" x14ac:dyDescent="0.3">
      <c r="A19">
        <v>22</v>
      </c>
      <c r="B19" t="s">
        <v>36</v>
      </c>
      <c r="C19" t="s">
        <v>12</v>
      </c>
      <c r="D19" s="1">
        <v>45931</v>
      </c>
      <c r="E19" s="1">
        <v>46075</v>
      </c>
      <c r="F19">
        <v>7200</v>
      </c>
      <c r="G19" t="s">
        <v>285</v>
      </c>
      <c r="H19" t="s">
        <v>242</v>
      </c>
      <c r="I19" t="s">
        <v>242</v>
      </c>
      <c r="J19">
        <v>17888</v>
      </c>
      <c r="K19" s="1">
        <v>46169</v>
      </c>
      <c r="L19" t="b">
        <v>1</v>
      </c>
    </row>
    <row r="20" spans="1:12" x14ac:dyDescent="0.3">
      <c r="A20">
        <v>23</v>
      </c>
      <c r="B20" t="s">
        <v>36</v>
      </c>
      <c r="C20" t="s">
        <v>12</v>
      </c>
      <c r="D20" s="1">
        <v>45931</v>
      </c>
      <c r="E20" s="1">
        <v>46075</v>
      </c>
      <c r="F20">
        <v>7200</v>
      </c>
      <c r="G20" t="s">
        <v>286</v>
      </c>
      <c r="H20" t="s">
        <v>242</v>
      </c>
      <c r="I20" t="s">
        <v>242</v>
      </c>
      <c r="J20">
        <v>17920</v>
      </c>
      <c r="K20" s="1">
        <v>46169</v>
      </c>
      <c r="L20" t="b">
        <v>1</v>
      </c>
    </row>
    <row r="21" spans="1:12" x14ac:dyDescent="0.3">
      <c r="A21">
        <v>24</v>
      </c>
      <c r="B21" t="s">
        <v>36</v>
      </c>
      <c r="C21" t="s">
        <v>12</v>
      </c>
      <c r="D21" s="1">
        <v>45931</v>
      </c>
      <c r="E21" s="1">
        <v>46075</v>
      </c>
      <c r="F21">
        <v>7200</v>
      </c>
      <c r="G21" t="s">
        <v>287</v>
      </c>
      <c r="H21" t="s">
        <v>242</v>
      </c>
      <c r="I21" t="s">
        <v>242</v>
      </c>
      <c r="J21">
        <v>13440</v>
      </c>
      <c r="K21" s="1">
        <v>46169</v>
      </c>
      <c r="L21" t="b">
        <v>1</v>
      </c>
    </row>
    <row r="22" spans="1:12" x14ac:dyDescent="0.3">
      <c r="A22">
        <v>25</v>
      </c>
      <c r="B22" t="s">
        <v>36</v>
      </c>
      <c r="C22" t="s">
        <v>12</v>
      </c>
      <c r="D22" s="1">
        <v>45931</v>
      </c>
      <c r="E22" s="1">
        <v>46075</v>
      </c>
      <c r="F22">
        <v>7200</v>
      </c>
      <c r="G22" t="s">
        <v>288</v>
      </c>
      <c r="H22" t="s">
        <v>242</v>
      </c>
      <c r="I22" t="s">
        <v>242</v>
      </c>
      <c r="J22">
        <v>12160</v>
      </c>
      <c r="K22" s="1">
        <v>46169</v>
      </c>
      <c r="L22" t="b">
        <v>1</v>
      </c>
    </row>
    <row r="23" spans="1:12" x14ac:dyDescent="0.3">
      <c r="A23">
        <v>28</v>
      </c>
      <c r="B23" t="s">
        <v>36</v>
      </c>
      <c r="C23" t="s">
        <v>12</v>
      </c>
      <c r="D23" s="1">
        <v>45931</v>
      </c>
      <c r="E23" s="1">
        <v>46075</v>
      </c>
      <c r="F23">
        <v>7200</v>
      </c>
      <c r="G23" t="s">
        <v>289</v>
      </c>
      <c r="H23" t="s">
        <v>242</v>
      </c>
      <c r="I23" t="s">
        <v>242</v>
      </c>
      <c r="J23">
        <v>15392</v>
      </c>
      <c r="K23" s="1">
        <v>46169</v>
      </c>
      <c r="L23" t="b">
        <v>1</v>
      </c>
    </row>
    <row r="24" spans="1:12" hidden="1" x14ac:dyDescent="0.3">
      <c r="A24">
        <v>42</v>
      </c>
      <c r="B24" t="s">
        <v>24</v>
      </c>
      <c r="C24" t="s">
        <v>19</v>
      </c>
      <c r="D24" s="1">
        <v>46082</v>
      </c>
      <c r="E24" s="1">
        <v>46075</v>
      </c>
      <c r="F24">
        <v>0</v>
      </c>
      <c r="G24" t="s">
        <v>242</v>
      </c>
      <c r="H24" t="s">
        <v>242</v>
      </c>
      <c r="I24" t="s">
        <v>242</v>
      </c>
      <c r="K24" s="1"/>
      <c r="L24" t="b">
        <v>0</v>
      </c>
    </row>
    <row r="25" spans="1:12" hidden="1" x14ac:dyDescent="0.3">
      <c r="A25">
        <v>44</v>
      </c>
      <c r="B25" t="s">
        <v>21</v>
      </c>
      <c r="C25" t="s">
        <v>22</v>
      </c>
      <c r="D25" s="1">
        <v>46082</v>
      </c>
      <c r="E25" s="1">
        <v>46075</v>
      </c>
      <c r="F25">
        <v>0</v>
      </c>
      <c r="G25" t="s">
        <v>375</v>
      </c>
      <c r="H25" t="s">
        <v>242</v>
      </c>
      <c r="I25" t="s">
        <v>242</v>
      </c>
      <c r="J25">
        <v>0</v>
      </c>
      <c r="K25" s="1">
        <v>46177</v>
      </c>
      <c r="L25" t="b">
        <v>0</v>
      </c>
    </row>
    <row r="26" spans="1:12" hidden="1" x14ac:dyDescent="0.3">
      <c r="A26">
        <v>45</v>
      </c>
      <c r="B26" t="s">
        <v>20</v>
      </c>
      <c r="C26" t="s">
        <v>19</v>
      </c>
      <c r="D26" s="1">
        <v>45717</v>
      </c>
      <c r="E26" s="1">
        <v>46075</v>
      </c>
      <c r="F26">
        <v>0</v>
      </c>
      <c r="G26" t="s">
        <v>242</v>
      </c>
      <c r="H26" t="s">
        <v>242</v>
      </c>
      <c r="I26" t="s">
        <v>242</v>
      </c>
      <c r="K26" s="1"/>
      <c r="L26" t="b">
        <v>0</v>
      </c>
    </row>
    <row r="27" spans="1:12" x14ac:dyDescent="0.3">
      <c r="A27">
        <v>46</v>
      </c>
      <c r="B27" t="s">
        <v>36</v>
      </c>
      <c r="C27" t="s">
        <v>12</v>
      </c>
      <c r="D27" s="1">
        <v>45931</v>
      </c>
      <c r="E27" s="1">
        <v>46075</v>
      </c>
      <c r="F27">
        <v>7200</v>
      </c>
      <c r="G27" t="s">
        <v>290</v>
      </c>
      <c r="H27" t="s">
        <v>242</v>
      </c>
      <c r="I27" t="s">
        <v>242</v>
      </c>
      <c r="J27">
        <v>11840</v>
      </c>
      <c r="K27" s="1">
        <v>46169</v>
      </c>
      <c r="L27" t="b">
        <v>1</v>
      </c>
    </row>
    <row r="28" spans="1:12" x14ac:dyDescent="0.3">
      <c r="A28">
        <v>47</v>
      </c>
      <c r="B28" t="s">
        <v>36</v>
      </c>
      <c r="C28" t="s">
        <v>12</v>
      </c>
      <c r="D28" s="1">
        <v>45931</v>
      </c>
      <c r="E28" s="1">
        <v>46075</v>
      </c>
      <c r="F28">
        <v>7200</v>
      </c>
      <c r="G28" t="s">
        <v>291</v>
      </c>
      <c r="H28" t="s">
        <v>242</v>
      </c>
      <c r="I28" t="s">
        <v>242</v>
      </c>
      <c r="J28">
        <v>13760</v>
      </c>
      <c r="K28" s="1">
        <v>46169</v>
      </c>
      <c r="L28" t="b">
        <v>1</v>
      </c>
    </row>
    <row r="29" spans="1:12" x14ac:dyDescent="0.3">
      <c r="A29">
        <v>49</v>
      </c>
      <c r="B29" t="s">
        <v>36</v>
      </c>
      <c r="C29" t="s">
        <v>12</v>
      </c>
      <c r="D29" s="1">
        <v>45931</v>
      </c>
      <c r="E29" s="1">
        <v>46075</v>
      </c>
      <c r="F29">
        <v>7200</v>
      </c>
      <c r="G29" t="s">
        <v>291</v>
      </c>
      <c r="H29" t="s">
        <v>242</v>
      </c>
      <c r="I29" t="s">
        <v>242</v>
      </c>
      <c r="J29">
        <v>13760</v>
      </c>
      <c r="K29" s="1">
        <v>46169</v>
      </c>
      <c r="L29" t="b">
        <v>1</v>
      </c>
    </row>
    <row r="30" spans="1:12" x14ac:dyDescent="0.3">
      <c r="A30">
        <v>50</v>
      </c>
      <c r="B30" t="s">
        <v>36</v>
      </c>
      <c r="C30" t="s">
        <v>12</v>
      </c>
      <c r="D30" s="1">
        <v>45931</v>
      </c>
      <c r="E30" s="1">
        <v>46075</v>
      </c>
      <c r="F30">
        <v>7200</v>
      </c>
      <c r="G30" t="s">
        <v>292</v>
      </c>
      <c r="H30" t="s">
        <v>242</v>
      </c>
      <c r="I30" t="s">
        <v>242</v>
      </c>
      <c r="J30">
        <v>17280</v>
      </c>
      <c r="K30" s="1">
        <v>46166</v>
      </c>
      <c r="L30" t="b">
        <v>1</v>
      </c>
    </row>
    <row r="31" spans="1:12" hidden="1" x14ac:dyDescent="0.3">
      <c r="A31">
        <v>51</v>
      </c>
      <c r="B31" t="s">
        <v>25</v>
      </c>
      <c r="C31" t="s">
        <v>19</v>
      </c>
      <c r="D31" s="1">
        <v>45717</v>
      </c>
      <c r="E31" s="1">
        <v>46216</v>
      </c>
      <c r="F31">
        <v>0</v>
      </c>
      <c r="G31" t="s">
        <v>242</v>
      </c>
      <c r="H31" t="s">
        <v>242</v>
      </c>
      <c r="I31" t="s">
        <v>242</v>
      </c>
      <c r="K31" s="1"/>
      <c r="L31" t="b">
        <v>0</v>
      </c>
    </row>
    <row r="32" spans="1:12" x14ac:dyDescent="0.3">
      <c r="A32">
        <v>52</v>
      </c>
      <c r="B32" t="s">
        <v>36</v>
      </c>
      <c r="C32" t="s">
        <v>12</v>
      </c>
      <c r="D32" s="1">
        <v>45931</v>
      </c>
      <c r="E32" s="1">
        <v>46075</v>
      </c>
      <c r="F32">
        <v>7200</v>
      </c>
      <c r="G32" t="s">
        <v>293</v>
      </c>
      <c r="H32" t="s">
        <v>242</v>
      </c>
      <c r="I32" t="s">
        <v>242</v>
      </c>
      <c r="J32">
        <v>13120</v>
      </c>
      <c r="K32" s="1">
        <v>46169</v>
      </c>
      <c r="L32" t="b">
        <v>1</v>
      </c>
    </row>
    <row r="33" spans="1:12" hidden="1" x14ac:dyDescent="0.3">
      <c r="A33">
        <v>53</v>
      </c>
      <c r="B33" t="s">
        <v>24</v>
      </c>
      <c r="C33" t="s">
        <v>19</v>
      </c>
      <c r="D33" s="1">
        <v>46137</v>
      </c>
      <c r="E33" s="1">
        <v>46075</v>
      </c>
      <c r="F33">
        <v>0</v>
      </c>
      <c r="G33" t="s">
        <v>242</v>
      </c>
      <c r="H33" t="s">
        <v>242</v>
      </c>
      <c r="I33" t="s">
        <v>242</v>
      </c>
      <c r="K33" s="1"/>
      <c r="L33" t="b">
        <v>0</v>
      </c>
    </row>
    <row r="34" spans="1:12" hidden="1" x14ac:dyDescent="0.3">
      <c r="A34">
        <v>54</v>
      </c>
      <c r="B34" t="s">
        <v>21</v>
      </c>
      <c r="C34" t="s">
        <v>19</v>
      </c>
      <c r="D34" s="1">
        <v>46137</v>
      </c>
      <c r="E34" s="1">
        <v>46075</v>
      </c>
      <c r="F34">
        <v>0</v>
      </c>
      <c r="G34" t="s">
        <v>242</v>
      </c>
      <c r="H34" t="s">
        <v>242</v>
      </c>
      <c r="I34" t="s">
        <v>242</v>
      </c>
      <c r="K34" s="1"/>
      <c r="L34" t="b">
        <v>0</v>
      </c>
    </row>
    <row r="35" spans="1:12" hidden="1" x14ac:dyDescent="0.3">
      <c r="A35">
        <v>56</v>
      </c>
      <c r="B35" t="s">
        <v>24</v>
      </c>
      <c r="C35" t="s">
        <v>19</v>
      </c>
      <c r="D35" s="1">
        <v>46176</v>
      </c>
      <c r="E35" s="1">
        <v>46176</v>
      </c>
      <c r="G35" t="s">
        <v>242</v>
      </c>
      <c r="H35" t="s">
        <v>242</v>
      </c>
      <c r="I35" t="s">
        <v>242</v>
      </c>
      <c r="K35" s="1"/>
      <c r="L35" t="b">
        <v>0</v>
      </c>
    </row>
    <row r="36" spans="1:12" hidden="1" x14ac:dyDescent="0.3">
      <c r="A36">
        <v>57</v>
      </c>
      <c r="B36" t="s">
        <v>21</v>
      </c>
      <c r="C36" t="s">
        <v>19</v>
      </c>
      <c r="D36" s="1">
        <v>46176</v>
      </c>
      <c r="E36" s="1">
        <v>46176</v>
      </c>
      <c r="G36" t="s">
        <v>242</v>
      </c>
      <c r="H36" t="s">
        <v>242</v>
      </c>
      <c r="I36" t="s">
        <v>242</v>
      </c>
      <c r="K36" s="1"/>
      <c r="L36" t="b">
        <v>0</v>
      </c>
    </row>
    <row r="37" spans="1:12" hidden="1" x14ac:dyDescent="0.3">
      <c r="A37">
        <v>58</v>
      </c>
      <c r="B37" t="s">
        <v>21</v>
      </c>
      <c r="C37" t="s">
        <v>19</v>
      </c>
      <c r="D37" s="1">
        <v>46082</v>
      </c>
      <c r="E37" s="1">
        <v>46075</v>
      </c>
      <c r="F37">
        <v>0</v>
      </c>
      <c r="G37" t="s">
        <v>242</v>
      </c>
      <c r="H37" t="s">
        <v>242</v>
      </c>
      <c r="I37" t="s">
        <v>242</v>
      </c>
      <c r="K37" s="1"/>
      <c r="L37" t="b">
        <v>0</v>
      </c>
    </row>
    <row r="38" spans="1:12" x14ac:dyDescent="0.3">
      <c r="A38">
        <v>59</v>
      </c>
      <c r="B38" t="s">
        <v>36</v>
      </c>
      <c r="C38" t="s">
        <v>12</v>
      </c>
      <c r="D38" s="1">
        <v>45931</v>
      </c>
      <c r="E38" s="1">
        <v>46075</v>
      </c>
      <c r="F38">
        <v>7200</v>
      </c>
      <c r="G38" t="s">
        <v>294</v>
      </c>
      <c r="H38" t="s">
        <v>242</v>
      </c>
      <c r="I38" t="s">
        <v>242</v>
      </c>
      <c r="J38">
        <v>13120</v>
      </c>
      <c r="K38" s="1">
        <v>46167</v>
      </c>
      <c r="L38" t="b">
        <v>1</v>
      </c>
    </row>
    <row r="39" spans="1:12" hidden="1" x14ac:dyDescent="0.3">
      <c r="A39">
        <v>60</v>
      </c>
      <c r="B39" t="s">
        <v>18</v>
      </c>
      <c r="C39" t="s">
        <v>19</v>
      </c>
      <c r="D39" s="1">
        <v>45717</v>
      </c>
      <c r="E39" s="1">
        <v>46075</v>
      </c>
      <c r="F39">
        <v>0</v>
      </c>
      <c r="G39" t="s">
        <v>242</v>
      </c>
      <c r="H39" t="s">
        <v>242</v>
      </c>
      <c r="I39" t="s">
        <v>242</v>
      </c>
      <c r="K39" s="1"/>
      <c r="L39" t="b">
        <v>0</v>
      </c>
    </row>
    <row r="40" spans="1:12" hidden="1" x14ac:dyDescent="0.3">
      <c r="A40">
        <v>61</v>
      </c>
      <c r="B40" t="s">
        <v>21</v>
      </c>
      <c r="C40" t="s">
        <v>19</v>
      </c>
      <c r="D40" s="1">
        <v>46082</v>
      </c>
      <c r="E40" s="1">
        <v>46075</v>
      </c>
      <c r="F40">
        <v>0</v>
      </c>
      <c r="G40" t="s">
        <v>242</v>
      </c>
      <c r="H40" t="s">
        <v>242</v>
      </c>
      <c r="I40" t="s">
        <v>242</v>
      </c>
      <c r="K40" s="1"/>
      <c r="L40" t="b">
        <v>0</v>
      </c>
    </row>
    <row r="41" spans="1:12" hidden="1" x14ac:dyDescent="0.3">
      <c r="A41">
        <v>62</v>
      </c>
      <c r="B41" t="s">
        <v>18</v>
      </c>
      <c r="C41" t="s">
        <v>19</v>
      </c>
      <c r="D41" s="1">
        <v>45717</v>
      </c>
      <c r="E41" s="1">
        <v>46075</v>
      </c>
      <c r="F41">
        <v>0</v>
      </c>
      <c r="G41" t="s">
        <v>242</v>
      </c>
      <c r="H41" t="s">
        <v>242</v>
      </c>
      <c r="I41" t="s">
        <v>242</v>
      </c>
      <c r="K41" s="1"/>
      <c r="L41" t="b">
        <v>0</v>
      </c>
    </row>
    <row r="42" spans="1:12" hidden="1" x14ac:dyDescent="0.3">
      <c r="A42">
        <v>64</v>
      </c>
      <c r="B42" t="s">
        <v>24</v>
      </c>
      <c r="C42" t="s">
        <v>19</v>
      </c>
      <c r="D42" s="1">
        <v>46082</v>
      </c>
      <c r="E42" s="1">
        <v>46075</v>
      </c>
      <c r="F42">
        <v>0</v>
      </c>
      <c r="G42" t="s">
        <v>242</v>
      </c>
      <c r="H42" t="s">
        <v>242</v>
      </c>
      <c r="I42" t="s">
        <v>242</v>
      </c>
      <c r="K42" s="1"/>
      <c r="L42" t="b">
        <v>0</v>
      </c>
    </row>
    <row r="43" spans="1:12" x14ac:dyDescent="0.3">
      <c r="A43">
        <v>66</v>
      </c>
      <c r="B43" t="s">
        <v>36</v>
      </c>
      <c r="C43" t="s">
        <v>12</v>
      </c>
      <c r="D43" s="1">
        <v>45931</v>
      </c>
      <c r="E43" s="1">
        <v>46075</v>
      </c>
      <c r="F43">
        <v>7200</v>
      </c>
      <c r="G43" t="s">
        <v>295</v>
      </c>
      <c r="H43" t="s">
        <v>242</v>
      </c>
      <c r="I43" t="s">
        <v>242</v>
      </c>
      <c r="J43">
        <v>16000</v>
      </c>
      <c r="K43" s="1">
        <v>46164</v>
      </c>
      <c r="L43" t="b">
        <v>1</v>
      </c>
    </row>
    <row r="44" spans="1:12" hidden="1" x14ac:dyDescent="0.3">
      <c r="A44">
        <v>69</v>
      </c>
      <c r="B44" t="s">
        <v>18</v>
      </c>
      <c r="C44" t="s">
        <v>19</v>
      </c>
      <c r="D44" s="1">
        <v>45717</v>
      </c>
      <c r="E44" s="1">
        <v>46075</v>
      </c>
      <c r="F44">
        <v>0</v>
      </c>
      <c r="G44" t="s">
        <v>242</v>
      </c>
      <c r="H44" t="s">
        <v>242</v>
      </c>
      <c r="I44" t="s">
        <v>242</v>
      </c>
      <c r="K44" s="1"/>
      <c r="L44" t="b">
        <v>0</v>
      </c>
    </row>
    <row r="45" spans="1:12" hidden="1" x14ac:dyDescent="0.3">
      <c r="A45">
        <v>70</v>
      </c>
      <c r="B45" t="s">
        <v>21</v>
      </c>
      <c r="C45" t="s">
        <v>19</v>
      </c>
      <c r="D45" s="1">
        <v>46082</v>
      </c>
      <c r="E45" s="1">
        <v>46075</v>
      </c>
      <c r="F45">
        <v>0</v>
      </c>
      <c r="G45" t="s">
        <v>242</v>
      </c>
      <c r="H45" t="s">
        <v>242</v>
      </c>
      <c r="I45" t="s">
        <v>242</v>
      </c>
      <c r="K45" s="1"/>
      <c r="L45" t="b">
        <v>0</v>
      </c>
    </row>
    <row r="46" spans="1:12" hidden="1" x14ac:dyDescent="0.3">
      <c r="A46">
        <v>71</v>
      </c>
      <c r="B46" t="s">
        <v>18</v>
      </c>
      <c r="C46" t="s">
        <v>19</v>
      </c>
      <c r="D46" s="1">
        <v>45717</v>
      </c>
      <c r="E46" s="1">
        <v>46075</v>
      </c>
      <c r="F46">
        <v>0</v>
      </c>
      <c r="G46" t="s">
        <v>242</v>
      </c>
      <c r="H46" t="s">
        <v>242</v>
      </c>
      <c r="I46" t="s">
        <v>242</v>
      </c>
      <c r="K46" s="1"/>
      <c r="L46" t="b">
        <v>0</v>
      </c>
    </row>
    <row r="47" spans="1:12" hidden="1" x14ac:dyDescent="0.3">
      <c r="A47">
        <v>74</v>
      </c>
      <c r="B47" t="s">
        <v>18</v>
      </c>
      <c r="C47" t="s">
        <v>19</v>
      </c>
      <c r="D47" s="1">
        <v>45717</v>
      </c>
      <c r="E47" s="1">
        <v>46075</v>
      </c>
      <c r="F47">
        <v>0</v>
      </c>
      <c r="G47" t="s">
        <v>242</v>
      </c>
      <c r="H47" t="s">
        <v>242</v>
      </c>
      <c r="I47" t="s">
        <v>242</v>
      </c>
      <c r="K47" s="1"/>
      <c r="L47" t="b">
        <v>0</v>
      </c>
    </row>
    <row r="48" spans="1:12" hidden="1" x14ac:dyDescent="0.3">
      <c r="A48">
        <v>75</v>
      </c>
      <c r="B48" t="s">
        <v>21</v>
      </c>
      <c r="C48" t="s">
        <v>22</v>
      </c>
      <c r="D48" s="1">
        <v>46134</v>
      </c>
      <c r="E48" s="1">
        <v>46177</v>
      </c>
      <c r="F48">
        <v>0</v>
      </c>
      <c r="G48" t="s">
        <v>242</v>
      </c>
      <c r="H48" t="s">
        <v>242</v>
      </c>
      <c r="I48" t="s">
        <v>242</v>
      </c>
      <c r="K48" s="1"/>
      <c r="L48" t="b">
        <v>0</v>
      </c>
    </row>
    <row r="49" spans="1:12" hidden="1" x14ac:dyDescent="0.3">
      <c r="A49">
        <v>76</v>
      </c>
      <c r="B49" t="s">
        <v>36</v>
      </c>
      <c r="C49" t="s">
        <v>19</v>
      </c>
      <c r="D49" s="1">
        <v>45717</v>
      </c>
      <c r="E49" s="1">
        <v>46216</v>
      </c>
      <c r="F49">
        <v>0</v>
      </c>
      <c r="G49" t="s">
        <v>242</v>
      </c>
      <c r="H49" t="s">
        <v>242</v>
      </c>
      <c r="I49" t="s">
        <v>242</v>
      </c>
      <c r="K49" s="1"/>
      <c r="L49" t="b">
        <v>0</v>
      </c>
    </row>
    <row r="50" spans="1:12" hidden="1" x14ac:dyDescent="0.3">
      <c r="A50">
        <v>77</v>
      </c>
      <c r="B50" t="s">
        <v>18</v>
      </c>
      <c r="C50" t="s">
        <v>19</v>
      </c>
      <c r="D50" s="1">
        <v>45717</v>
      </c>
      <c r="E50" s="1">
        <v>46075</v>
      </c>
      <c r="F50">
        <v>0</v>
      </c>
      <c r="G50" t="s">
        <v>242</v>
      </c>
      <c r="H50" t="s">
        <v>242</v>
      </c>
      <c r="I50" t="s">
        <v>242</v>
      </c>
      <c r="K50" s="1"/>
      <c r="L50" t="b">
        <v>0</v>
      </c>
    </row>
    <row r="51" spans="1:12" hidden="1" x14ac:dyDescent="0.3">
      <c r="A51">
        <v>78</v>
      </c>
      <c r="B51" t="s">
        <v>18</v>
      </c>
      <c r="C51" t="s">
        <v>19</v>
      </c>
      <c r="D51" s="1">
        <v>45717</v>
      </c>
      <c r="E51" s="1">
        <v>46075</v>
      </c>
      <c r="F51">
        <v>0</v>
      </c>
      <c r="G51" t="s">
        <v>242</v>
      </c>
      <c r="H51" t="s">
        <v>242</v>
      </c>
      <c r="I51" t="s">
        <v>242</v>
      </c>
      <c r="K51" s="1"/>
      <c r="L51" t="b">
        <v>0</v>
      </c>
    </row>
    <row r="52" spans="1:12" hidden="1" x14ac:dyDescent="0.3">
      <c r="A52">
        <v>79</v>
      </c>
      <c r="B52" t="s">
        <v>21</v>
      </c>
      <c r="C52" t="s">
        <v>19</v>
      </c>
      <c r="D52" s="1">
        <v>46082</v>
      </c>
      <c r="E52" s="1">
        <v>46075</v>
      </c>
      <c r="F52">
        <v>0</v>
      </c>
      <c r="G52" t="s">
        <v>242</v>
      </c>
      <c r="H52" t="s">
        <v>242</v>
      </c>
      <c r="I52" t="s">
        <v>242</v>
      </c>
      <c r="K52" s="1"/>
      <c r="L52" t="b">
        <v>0</v>
      </c>
    </row>
    <row r="53" spans="1:12" hidden="1" x14ac:dyDescent="0.3">
      <c r="A53">
        <v>80</v>
      </c>
      <c r="B53" t="s">
        <v>21</v>
      </c>
      <c r="C53" t="s">
        <v>19</v>
      </c>
      <c r="D53" s="1">
        <v>46082</v>
      </c>
      <c r="E53" s="1">
        <v>46075</v>
      </c>
      <c r="F53">
        <v>0</v>
      </c>
      <c r="G53" t="s">
        <v>242</v>
      </c>
      <c r="H53" t="s">
        <v>242</v>
      </c>
      <c r="I53" t="s">
        <v>242</v>
      </c>
      <c r="K53" s="1"/>
      <c r="L53" t="b">
        <v>0</v>
      </c>
    </row>
    <row r="54" spans="1:12" hidden="1" x14ac:dyDescent="0.3">
      <c r="A54">
        <v>84</v>
      </c>
      <c r="B54" t="s">
        <v>21</v>
      </c>
      <c r="C54" t="s">
        <v>19</v>
      </c>
      <c r="D54" s="1">
        <v>46082</v>
      </c>
      <c r="E54" s="1">
        <v>46075</v>
      </c>
      <c r="F54">
        <v>0</v>
      </c>
      <c r="G54" t="s">
        <v>242</v>
      </c>
      <c r="H54" t="s">
        <v>242</v>
      </c>
      <c r="I54" t="s">
        <v>242</v>
      </c>
      <c r="K54" s="1"/>
      <c r="L54" t="b">
        <v>0</v>
      </c>
    </row>
    <row r="55" spans="1:12" hidden="1" x14ac:dyDescent="0.3">
      <c r="A55">
        <v>85</v>
      </c>
      <c r="B55" t="s">
        <v>21</v>
      </c>
      <c r="C55" t="s">
        <v>19</v>
      </c>
      <c r="D55" s="1">
        <v>46082</v>
      </c>
      <c r="E55" s="1">
        <v>46075</v>
      </c>
      <c r="F55">
        <v>0</v>
      </c>
      <c r="G55" t="s">
        <v>242</v>
      </c>
      <c r="H55" t="s">
        <v>242</v>
      </c>
      <c r="I55" t="s">
        <v>242</v>
      </c>
      <c r="K55" s="1"/>
      <c r="L55" t="b">
        <v>0</v>
      </c>
    </row>
    <row r="56" spans="1:12" hidden="1" x14ac:dyDescent="0.3">
      <c r="A56">
        <v>86</v>
      </c>
      <c r="B56" t="s">
        <v>20</v>
      </c>
      <c r="C56" t="s">
        <v>19</v>
      </c>
      <c r="D56" s="1">
        <v>45717</v>
      </c>
      <c r="E56" s="1">
        <v>46075</v>
      </c>
      <c r="F56">
        <v>0</v>
      </c>
      <c r="G56" t="s">
        <v>242</v>
      </c>
      <c r="H56" t="s">
        <v>242</v>
      </c>
      <c r="I56" t="s">
        <v>242</v>
      </c>
      <c r="K56" s="1"/>
      <c r="L56" t="b">
        <v>0</v>
      </c>
    </row>
    <row r="57" spans="1:12" hidden="1" x14ac:dyDescent="0.3">
      <c r="A57">
        <v>87</v>
      </c>
      <c r="B57" t="s">
        <v>18</v>
      </c>
      <c r="C57" t="s">
        <v>19</v>
      </c>
      <c r="D57" s="1">
        <v>45717</v>
      </c>
      <c r="E57" s="1">
        <v>46075</v>
      </c>
      <c r="F57">
        <v>0</v>
      </c>
      <c r="G57" t="s">
        <v>242</v>
      </c>
      <c r="H57" t="s">
        <v>242</v>
      </c>
      <c r="I57" t="s">
        <v>242</v>
      </c>
      <c r="K57" s="1"/>
      <c r="L57" t="b">
        <v>0</v>
      </c>
    </row>
    <row r="58" spans="1:12" hidden="1" x14ac:dyDescent="0.3">
      <c r="A58">
        <v>89</v>
      </c>
      <c r="B58" t="s">
        <v>20</v>
      </c>
      <c r="C58" t="s">
        <v>19</v>
      </c>
      <c r="D58" s="1">
        <v>45717</v>
      </c>
      <c r="E58" s="1">
        <v>46075</v>
      </c>
      <c r="F58">
        <v>0</v>
      </c>
      <c r="G58" t="s">
        <v>242</v>
      </c>
      <c r="H58" t="s">
        <v>242</v>
      </c>
      <c r="I58" t="s">
        <v>242</v>
      </c>
      <c r="K58" s="1"/>
      <c r="L58" t="b">
        <v>0</v>
      </c>
    </row>
    <row r="59" spans="1:12" hidden="1" x14ac:dyDescent="0.3">
      <c r="A59">
        <v>90</v>
      </c>
      <c r="B59" t="s">
        <v>20</v>
      </c>
      <c r="C59" t="s">
        <v>19</v>
      </c>
      <c r="D59" s="1">
        <v>45717</v>
      </c>
      <c r="E59" s="1">
        <v>46075</v>
      </c>
      <c r="F59">
        <v>0</v>
      </c>
      <c r="G59" t="s">
        <v>242</v>
      </c>
      <c r="H59" t="s">
        <v>242</v>
      </c>
      <c r="I59" t="s">
        <v>242</v>
      </c>
      <c r="K59" s="1"/>
      <c r="L59" t="b">
        <v>0</v>
      </c>
    </row>
    <row r="60" spans="1:12" x14ac:dyDescent="0.3">
      <c r="A60">
        <v>91</v>
      </c>
      <c r="B60" t="s">
        <v>36</v>
      </c>
      <c r="C60" t="s">
        <v>12</v>
      </c>
      <c r="D60" s="1">
        <v>45931</v>
      </c>
      <c r="E60" s="1">
        <v>46075</v>
      </c>
      <c r="F60">
        <v>7200</v>
      </c>
      <c r="G60" t="s">
        <v>296</v>
      </c>
      <c r="H60" t="s">
        <v>242</v>
      </c>
      <c r="I60" t="s">
        <v>242</v>
      </c>
      <c r="J60">
        <v>16960</v>
      </c>
      <c r="K60" s="1">
        <v>46164</v>
      </c>
      <c r="L60" t="b">
        <v>1</v>
      </c>
    </row>
    <row r="61" spans="1:12" hidden="1" x14ac:dyDescent="0.3">
      <c r="A61">
        <v>92</v>
      </c>
      <c r="B61" t="s">
        <v>20</v>
      </c>
      <c r="C61" t="s">
        <v>19</v>
      </c>
      <c r="D61" s="1">
        <v>45717</v>
      </c>
      <c r="E61" s="1">
        <v>46075</v>
      </c>
      <c r="F61">
        <v>0</v>
      </c>
      <c r="G61" t="s">
        <v>242</v>
      </c>
      <c r="H61" t="s">
        <v>242</v>
      </c>
      <c r="I61" t="s">
        <v>242</v>
      </c>
      <c r="K61" s="1"/>
      <c r="L61" t="b">
        <v>0</v>
      </c>
    </row>
    <row r="62" spans="1:12" hidden="1" x14ac:dyDescent="0.3">
      <c r="A62">
        <v>93</v>
      </c>
      <c r="B62" t="s">
        <v>25</v>
      </c>
      <c r="C62" t="s">
        <v>26</v>
      </c>
      <c r="D62" s="1">
        <v>45658</v>
      </c>
      <c r="E62" s="1">
        <v>46075</v>
      </c>
      <c r="F62">
        <v>0</v>
      </c>
      <c r="G62" t="s">
        <v>297</v>
      </c>
      <c r="H62" t="s">
        <v>242</v>
      </c>
      <c r="I62" t="s">
        <v>242</v>
      </c>
      <c r="J62">
        <v>0</v>
      </c>
      <c r="K62" s="1">
        <v>46169</v>
      </c>
      <c r="L62" t="b">
        <v>0</v>
      </c>
    </row>
    <row r="63" spans="1:12" hidden="1" x14ac:dyDescent="0.3">
      <c r="A63">
        <v>96</v>
      </c>
      <c r="B63" t="s">
        <v>25</v>
      </c>
      <c r="C63" t="s">
        <v>19</v>
      </c>
      <c r="D63" s="1">
        <v>45658</v>
      </c>
      <c r="E63" s="1">
        <v>46075</v>
      </c>
      <c r="F63">
        <v>0</v>
      </c>
      <c r="G63" t="s">
        <v>242</v>
      </c>
      <c r="H63" t="s">
        <v>242</v>
      </c>
      <c r="I63" t="s">
        <v>242</v>
      </c>
      <c r="K63" s="1"/>
      <c r="L63" t="b">
        <v>0</v>
      </c>
    </row>
    <row r="64" spans="1:12" x14ac:dyDescent="0.3">
      <c r="A64">
        <v>99</v>
      </c>
      <c r="B64" t="s">
        <v>36</v>
      </c>
      <c r="C64" t="s">
        <v>12</v>
      </c>
      <c r="D64" s="1">
        <v>45717</v>
      </c>
      <c r="E64" s="1">
        <v>46075</v>
      </c>
      <c r="F64">
        <v>7200</v>
      </c>
      <c r="G64" t="s">
        <v>298</v>
      </c>
      <c r="H64" t="s">
        <v>242</v>
      </c>
      <c r="I64" t="s">
        <v>242</v>
      </c>
      <c r="J64">
        <v>16960</v>
      </c>
      <c r="K64" s="1">
        <v>46169</v>
      </c>
      <c r="L64" t="b">
        <v>1</v>
      </c>
    </row>
    <row r="65" spans="1:12" hidden="1" x14ac:dyDescent="0.3">
      <c r="A65">
        <v>100</v>
      </c>
      <c r="B65" t="s">
        <v>20</v>
      </c>
      <c r="C65" t="s">
        <v>19</v>
      </c>
      <c r="D65" s="1">
        <v>45717</v>
      </c>
      <c r="E65" s="1">
        <v>46216</v>
      </c>
      <c r="F65">
        <v>0</v>
      </c>
      <c r="G65" t="s">
        <v>242</v>
      </c>
      <c r="H65" t="s">
        <v>242</v>
      </c>
      <c r="I65" t="s">
        <v>242</v>
      </c>
      <c r="K65" s="1"/>
      <c r="L65" t="b">
        <v>0</v>
      </c>
    </row>
    <row r="66" spans="1:12" x14ac:dyDescent="0.3">
      <c r="A66">
        <v>101</v>
      </c>
      <c r="B66" t="s">
        <v>36</v>
      </c>
      <c r="C66" t="s">
        <v>12</v>
      </c>
      <c r="D66" s="1">
        <v>45717</v>
      </c>
      <c r="E66" s="1">
        <v>46075</v>
      </c>
      <c r="F66">
        <v>7200</v>
      </c>
      <c r="G66" t="s">
        <v>288</v>
      </c>
      <c r="H66" t="s">
        <v>242</v>
      </c>
      <c r="I66" t="s">
        <v>242</v>
      </c>
      <c r="J66">
        <v>12160</v>
      </c>
      <c r="K66" s="1">
        <v>46169</v>
      </c>
      <c r="L66" t="b">
        <v>1</v>
      </c>
    </row>
    <row r="67" spans="1:12" hidden="1" x14ac:dyDescent="0.3">
      <c r="A67">
        <v>103</v>
      </c>
      <c r="B67" t="s">
        <v>20</v>
      </c>
      <c r="C67" t="s">
        <v>19</v>
      </c>
      <c r="D67" s="1">
        <v>45717</v>
      </c>
      <c r="E67" s="1">
        <v>46075</v>
      </c>
      <c r="F67">
        <v>0</v>
      </c>
      <c r="G67" t="s">
        <v>242</v>
      </c>
      <c r="H67" t="s">
        <v>242</v>
      </c>
      <c r="I67" s="1" t="s">
        <v>242</v>
      </c>
      <c r="K67" s="1"/>
      <c r="L67" t="b">
        <v>0</v>
      </c>
    </row>
    <row r="68" spans="1:12" hidden="1" x14ac:dyDescent="0.3">
      <c r="A68">
        <v>105</v>
      </c>
      <c r="B68" t="s">
        <v>18</v>
      </c>
      <c r="C68" t="s">
        <v>19</v>
      </c>
      <c r="D68" s="1">
        <v>45717</v>
      </c>
      <c r="E68" s="1">
        <v>46216</v>
      </c>
      <c r="F68">
        <v>0</v>
      </c>
      <c r="G68" t="s">
        <v>242</v>
      </c>
      <c r="H68" t="s">
        <v>242</v>
      </c>
      <c r="I68" t="s">
        <v>242</v>
      </c>
      <c r="K68" s="1"/>
      <c r="L68" t="b">
        <v>0</v>
      </c>
    </row>
    <row r="69" spans="1:12" hidden="1" x14ac:dyDescent="0.3">
      <c r="A69">
        <v>106</v>
      </c>
      <c r="B69" t="s">
        <v>18</v>
      </c>
      <c r="C69" t="s">
        <v>19</v>
      </c>
      <c r="D69" s="1">
        <v>45717</v>
      </c>
      <c r="E69" s="1">
        <v>46075</v>
      </c>
      <c r="F69">
        <v>0</v>
      </c>
      <c r="G69" t="s">
        <v>242</v>
      </c>
      <c r="H69" t="s">
        <v>242</v>
      </c>
      <c r="I69" t="s">
        <v>242</v>
      </c>
      <c r="K69" s="1"/>
      <c r="L69" t="b">
        <v>0</v>
      </c>
    </row>
    <row r="70" spans="1:12" hidden="1" x14ac:dyDescent="0.3">
      <c r="A70">
        <v>107</v>
      </c>
      <c r="B70" t="s">
        <v>18</v>
      </c>
      <c r="C70" t="s">
        <v>19</v>
      </c>
      <c r="D70" s="1">
        <v>45717</v>
      </c>
      <c r="E70" s="1">
        <v>46075</v>
      </c>
      <c r="F70">
        <v>0</v>
      </c>
      <c r="G70" t="s">
        <v>242</v>
      </c>
      <c r="H70" t="s">
        <v>242</v>
      </c>
      <c r="I70" t="s">
        <v>242</v>
      </c>
      <c r="K70" s="1"/>
      <c r="L70" t="b">
        <v>0</v>
      </c>
    </row>
    <row r="71" spans="1:12" hidden="1" x14ac:dyDescent="0.3">
      <c r="A71">
        <v>108</v>
      </c>
      <c r="B71" t="s">
        <v>27</v>
      </c>
      <c r="C71" t="s">
        <v>19</v>
      </c>
      <c r="D71" s="1">
        <v>45717</v>
      </c>
      <c r="E71" s="1">
        <v>46216</v>
      </c>
      <c r="F71">
        <v>0</v>
      </c>
      <c r="G71" t="s">
        <v>242</v>
      </c>
      <c r="H71" t="s">
        <v>242</v>
      </c>
      <c r="I71" t="s">
        <v>242</v>
      </c>
      <c r="K71" s="1"/>
      <c r="L71" t="b">
        <v>0</v>
      </c>
    </row>
    <row r="72" spans="1:12" hidden="1" x14ac:dyDescent="0.3">
      <c r="A72">
        <v>109</v>
      </c>
      <c r="B72" t="s">
        <v>20</v>
      </c>
      <c r="C72" t="s">
        <v>19</v>
      </c>
      <c r="D72" s="1">
        <v>45717</v>
      </c>
      <c r="E72" s="1">
        <v>46075</v>
      </c>
      <c r="F72">
        <v>0</v>
      </c>
      <c r="G72" t="s">
        <v>242</v>
      </c>
      <c r="H72" t="s">
        <v>242</v>
      </c>
      <c r="I72" s="1" t="s">
        <v>242</v>
      </c>
      <c r="K72" s="1"/>
      <c r="L72" t="b">
        <v>0</v>
      </c>
    </row>
    <row r="73" spans="1:12" hidden="1" x14ac:dyDescent="0.3">
      <c r="A73">
        <v>110</v>
      </c>
      <c r="B73" t="s">
        <v>18</v>
      </c>
      <c r="C73" t="s">
        <v>19</v>
      </c>
      <c r="D73" s="1">
        <v>45717</v>
      </c>
      <c r="E73" s="1">
        <v>46075</v>
      </c>
      <c r="F73">
        <v>0</v>
      </c>
      <c r="G73" t="s">
        <v>242</v>
      </c>
      <c r="H73" t="s">
        <v>242</v>
      </c>
      <c r="I73" t="s">
        <v>242</v>
      </c>
      <c r="K73" s="1"/>
      <c r="L73" t="b">
        <v>0</v>
      </c>
    </row>
    <row r="74" spans="1:12" hidden="1" x14ac:dyDescent="0.3">
      <c r="A74">
        <v>111</v>
      </c>
      <c r="B74" t="s">
        <v>18</v>
      </c>
      <c r="C74" t="s">
        <v>19</v>
      </c>
      <c r="D74" s="1">
        <v>45717</v>
      </c>
      <c r="E74" s="1">
        <v>46075</v>
      </c>
      <c r="F74">
        <v>0</v>
      </c>
      <c r="G74" t="s">
        <v>242</v>
      </c>
      <c r="H74" t="s">
        <v>242</v>
      </c>
      <c r="I74" t="s">
        <v>242</v>
      </c>
      <c r="K74" s="1"/>
      <c r="L74" t="b">
        <v>0</v>
      </c>
    </row>
    <row r="75" spans="1:12" hidden="1" x14ac:dyDescent="0.3">
      <c r="A75">
        <v>112</v>
      </c>
      <c r="B75" t="s">
        <v>18</v>
      </c>
      <c r="C75" t="s">
        <v>19</v>
      </c>
      <c r="D75" s="1">
        <v>45717</v>
      </c>
      <c r="E75" s="1">
        <v>46075</v>
      </c>
      <c r="F75">
        <v>0</v>
      </c>
      <c r="G75" t="s">
        <v>242</v>
      </c>
      <c r="H75" t="s">
        <v>242</v>
      </c>
      <c r="I75" t="s">
        <v>242</v>
      </c>
      <c r="K75" s="1"/>
      <c r="L75" t="b">
        <v>0</v>
      </c>
    </row>
    <row r="76" spans="1:12" x14ac:dyDescent="0.3">
      <c r="A76">
        <v>114</v>
      </c>
      <c r="B76" t="s">
        <v>36</v>
      </c>
      <c r="C76" t="s">
        <v>12</v>
      </c>
      <c r="D76" s="1">
        <v>45667</v>
      </c>
      <c r="E76" s="1">
        <v>46117</v>
      </c>
      <c r="F76">
        <v>7200</v>
      </c>
      <c r="G76" t="s">
        <v>299</v>
      </c>
      <c r="H76" t="s">
        <v>242</v>
      </c>
      <c r="I76" t="s">
        <v>242</v>
      </c>
      <c r="J76">
        <v>16928</v>
      </c>
      <c r="K76" s="1">
        <v>46169</v>
      </c>
      <c r="L76" t="b">
        <v>1</v>
      </c>
    </row>
    <row r="77" spans="1:12" hidden="1" x14ac:dyDescent="0.3">
      <c r="A77">
        <v>115</v>
      </c>
      <c r="B77" t="s">
        <v>18</v>
      </c>
      <c r="C77" t="s">
        <v>19</v>
      </c>
      <c r="D77" s="1">
        <v>45717</v>
      </c>
      <c r="E77" s="1">
        <v>46075</v>
      </c>
      <c r="F77">
        <v>0</v>
      </c>
      <c r="G77" t="s">
        <v>242</v>
      </c>
      <c r="H77" t="s">
        <v>242</v>
      </c>
      <c r="I77" t="s">
        <v>242</v>
      </c>
      <c r="K77" s="1"/>
      <c r="L77" t="b">
        <v>0</v>
      </c>
    </row>
    <row r="78" spans="1:12" hidden="1" x14ac:dyDescent="0.3">
      <c r="A78">
        <v>119</v>
      </c>
      <c r="B78" t="s">
        <v>18</v>
      </c>
      <c r="C78" t="s">
        <v>19</v>
      </c>
      <c r="D78" s="1">
        <v>45717</v>
      </c>
      <c r="E78" s="1">
        <v>46075</v>
      </c>
      <c r="F78">
        <v>0</v>
      </c>
      <c r="G78" t="s">
        <v>242</v>
      </c>
      <c r="H78" t="s">
        <v>242</v>
      </c>
      <c r="I78" t="s">
        <v>242</v>
      </c>
      <c r="K78" s="1"/>
      <c r="L78" t="b">
        <v>0</v>
      </c>
    </row>
    <row r="79" spans="1:12" hidden="1" x14ac:dyDescent="0.3">
      <c r="A79">
        <v>120</v>
      </c>
      <c r="B79" t="s">
        <v>21</v>
      </c>
      <c r="C79" t="s">
        <v>19</v>
      </c>
      <c r="D79" s="1">
        <v>46082</v>
      </c>
      <c r="E79" s="1">
        <v>46075</v>
      </c>
      <c r="F79">
        <v>0</v>
      </c>
      <c r="G79" t="s">
        <v>242</v>
      </c>
      <c r="H79" t="s">
        <v>242</v>
      </c>
      <c r="I79" t="s">
        <v>242</v>
      </c>
      <c r="K79" s="1"/>
      <c r="L79" t="b">
        <v>0</v>
      </c>
    </row>
    <row r="80" spans="1:12" hidden="1" x14ac:dyDescent="0.3">
      <c r="A80">
        <v>121</v>
      </c>
      <c r="B80" t="s">
        <v>20</v>
      </c>
      <c r="C80" t="s">
        <v>19</v>
      </c>
      <c r="D80" s="1">
        <v>45717</v>
      </c>
      <c r="E80" s="1">
        <v>46075</v>
      </c>
      <c r="F80">
        <v>0</v>
      </c>
      <c r="G80" t="s">
        <v>242</v>
      </c>
      <c r="H80" t="s">
        <v>242</v>
      </c>
      <c r="I80" t="s">
        <v>242</v>
      </c>
      <c r="K80" s="1"/>
      <c r="L80" t="b">
        <v>0</v>
      </c>
    </row>
    <row r="81" spans="1:12" hidden="1" x14ac:dyDescent="0.3">
      <c r="A81">
        <v>125</v>
      </c>
      <c r="B81" t="s">
        <v>18</v>
      </c>
      <c r="C81" t="s">
        <v>19</v>
      </c>
      <c r="D81" s="1">
        <v>45717</v>
      </c>
      <c r="E81" s="1">
        <v>46075</v>
      </c>
      <c r="F81">
        <v>0</v>
      </c>
      <c r="G81" t="s">
        <v>242</v>
      </c>
      <c r="H81" t="s">
        <v>242</v>
      </c>
      <c r="I81" t="s">
        <v>242</v>
      </c>
      <c r="K81" s="1"/>
      <c r="L81" t="b">
        <v>0</v>
      </c>
    </row>
    <row r="82" spans="1:12" hidden="1" x14ac:dyDescent="0.3">
      <c r="A82">
        <v>127</v>
      </c>
      <c r="B82" t="s">
        <v>20</v>
      </c>
      <c r="C82" t="s">
        <v>19</v>
      </c>
      <c r="D82" s="1">
        <v>45717</v>
      </c>
      <c r="E82" s="1">
        <v>46075</v>
      </c>
      <c r="F82">
        <v>0</v>
      </c>
      <c r="G82" t="s">
        <v>242</v>
      </c>
      <c r="H82" t="s">
        <v>242</v>
      </c>
      <c r="I82" t="s">
        <v>242</v>
      </c>
      <c r="K82" s="1"/>
      <c r="L82" t="b">
        <v>0</v>
      </c>
    </row>
    <row r="83" spans="1:12" hidden="1" x14ac:dyDescent="0.3">
      <c r="A83">
        <v>128</v>
      </c>
      <c r="B83" t="s">
        <v>20</v>
      </c>
      <c r="C83" t="s">
        <v>19</v>
      </c>
      <c r="D83" s="1">
        <v>45717</v>
      </c>
      <c r="E83" s="1">
        <v>46075</v>
      </c>
      <c r="F83">
        <v>0</v>
      </c>
      <c r="G83" t="s">
        <v>242</v>
      </c>
      <c r="H83" t="s">
        <v>242</v>
      </c>
      <c r="I83" t="s">
        <v>242</v>
      </c>
      <c r="K83" s="1"/>
      <c r="L83" t="b">
        <v>0</v>
      </c>
    </row>
    <row r="84" spans="1:12" x14ac:dyDescent="0.3">
      <c r="A84">
        <v>129</v>
      </c>
      <c r="B84" t="s">
        <v>36</v>
      </c>
      <c r="C84" t="s">
        <v>12</v>
      </c>
      <c r="D84" s="1">
        <v>45931</v>
      </c>
      <c r="E84" s="1">
        <v>46075</v>
      </c>
      <c r="F84">
        <v>7200</v>
      </c>
      <c r="G84" t="s">
        <v>300</v>
      </c>
      <c r="H84" t="s">
        <v>242</v>
      </c>
      <c r="I84" t="s">
        <v>242</v>
      </c>
      <c r="J84">
        <v>18016</v>
      </c>
      <c r="K84" s="1">
        <v>46169</v>
      </c>
      <c r="L84" t="b">
        <v>1</v>
      </c>
    </row>
    <row r="85" spans="1:12" hidden="1" x14ac:dyDescent="0.3">
      <c r="A85">
        <v>132</v>
      </c>
      <c r="B85" t="s">
        <v>18</v>
      </c>
      <c r="C85" t="s">
        <v>19</v>
      </c>
      <c r="D85" s="1">
        <v>45717</v>
      </c>
      <c r="E85" s="1">
        <v>46075</v>
      </c>
      <c r="F85">
        <v>0</v>
      </c>
      <c r="G85" t="s">
        <v>242</v>
      </c>
      <c r="H85" t="s">
        <v>242</v>
      </c>
      <c r="I85" t="s">
        <v>242</v>
      </c>
      <c r="K85" s="1"/>
      <c r="L85" t="b">
        <v>0</v>
      </c>
    </row>
    <row r="86" spans="1:12" hidden="1" x14ac:dyDescent="0.3">
      <c r="A86">
        <v>134</v>
      </c>
      <c r="B86" t="s">
        <v>20</v>
      </c>
      <c r="C86" t="s">
        <v>19</v>
      </c>
      <c r="D86" s="1">
        <v>45717</v>
      </c>
      <c r="E86" s="1">
        <v>46075</v>
      </c>
      <c r="F86">
        <v>0</v>
      </c>
      <c r="G86" t="s">
        <v>242</v>
      </c>
      <c r="H86" t="s">
        <v>242</v>
      </c>
      <c r="I86" s="1" t="s">
        <v>242</v>
      </c>
      <c r="K86" s="1"/>
      <c r="L86" t="b">
        <v>0</v>
      </c>
    </row>
    <row r="87" spans="1:12" hidden="1" x14ac:dyDescent="0.3">
      <c r="A87">
        <v>135</v>
      </c>
      <c r="B87" t="s">
        <v>20</v>
      </c>
      <c r="C87" t="s">
        <v>19</v>
      </c>
      <c r="D87" s="1">
        <v>45717</v>
      </c>
      <c r="E87" s="1">
        <v>46075</v>
      </c>
      <c r="F87">
        <v>0</v>
      </c>
      <c r="G87" t="s">
        <v>242</v>
      </c>
      <c r="H87" t="s">
        <v>242</v>
      </c>
      <c r="I87" t="s">
        <v>242</v>
      </c>
      <c r="K87" s="1"/>
      <c r="L87" t="b">
        <v>0</v>
      </c>
    </row>
    <row r="88" spans="1:12" hidden="1" x14ac:dyDescent="0.3">
      <c r="A88">
        <v>137</v>
      </c>
      <c r="B88" t="s">
        <v>21</v>
      </c>
      <c r="C88" t="s">
        <v>19</v>
      </c>
      <c r="D88" s="1">
        <v>46082</v>
      </c>
      <c r="E88" s="1">
        <v>46075</v>
      </c>
      <c r="F88">
        <v>0</v>
      </c>
      <c r="G88" t="s">
        <v>242</v>
      </c>
      <c r="H88" t="s">
        <v>242</v>
      </c>
      <c r="I88" t="s">
        <v>242</v>
      </c>
      <c r="K88" s="1"/>
      <c r="L88" t="b">
        <v>0</v>
      </c>
    </row>
    <row r="89" spans="1:12" hidden="1" x14ac:dyDescent="0.3">
      <c r="A89">
        <v>138</v>
      </c>
      <c r="B89" t="s">
        <v>18</v>
      </c>
      <c r="C89" t="s">
        <v>19</v>
      </c>
      <c r="D89" s="1">
        <v>45717</v>
      </c>
      <c r="E89" s="1">
        <v>46075</v>
      </c>
      <c r="F89">
        <v>0</v>
      </c>
      <c r="G89" t="s">
        <v>242</v>
      </c>
      <c r="H89" t="s">
        <v>242</v>
      </c>
      <c r="I89" t="s">
        <v>242</v>
      </c>
      <c r="K89" s="1"/>
      <c r="L89" t="b">
        <v>0</v>
      </c>
    </row>
    <row r="90" spans="1:12" hidden="1" x14ac:dyDescent="0.3">
      <c r="A90">
        <v>140</v>
      </c>
      <c r="B90" t="s">
        <v>20</v>
      </c>
      <c r="C90" t="s">
        <v>19</v>
      </c>
      <c r="D90" s="1">
        <v>45717</v>
      </c>
      <c r="E90" s="1">
        <v>46075</v>
      </c>
      <c r="F90">
        <v>0</v>
      </c>
      <c r="G90" t="s">
        <v>242</v>
      </c>
      <c r="H90" t="s">
        <v>242</v>
      </c>
      <c r="I90" t="s">
        <v>242</v>
      </c>
      <c r="K90" s="1"/>
      <c r="L90" t="b">
        <v>0</v>
      </c>
    </row>
    <row r="91" spans="1:12" hidden="1" x14ac:dyDescent="0.3">
      <c r="A91">
        <v>141</v>
      </c>
      <c r="B91" t="s">
        <v>18</v>
      </c>
      <c r="C91" t="s">
        <v>19</v>
      </c>
      <c r="D91" s="1">
        <v>45717</v>
      </c>
      <c r="E91" s="1">
        <v>46075</v>
      </c>
      <c r="F91">
        <v>0</v>
      </c>
      <c r="G91" t="s">
        <v>242</v>
      </c>
      <c r="H91" t="s">
        <v>242</v>
      </c>
      <c r="I91" t="s">
        <v>242</v>
      </c>
      <c r="K91" s="1"/>
      <c r="L91" t="b">
        <v>0</v>
      </c>
    </row>
    <row r="92" spans="1:12" hidden="1" x14ac:dyDescent="0.3">
      <c r="A92">
        <v>143</v>
      </c>
      <c r="B92" t="s">
        <v>18</v>
      </c>
      <c r="C92" t="s">
        <v>19</v>
      </c>
      <c r="D92" s="1">
        <v>45717</v>
      </c>
      <c r="E92" s="1">
        <v>46075</v>
      </c>
      <c r="F92">
        <v>0</v>
      </c>
      <c r="G92" t="s">
        <v>242</v>
      </c>
      <c r="H92" t="s">
        <v>242</v>
      </c>
      <c r="I92" t="s">
        <v>242</v>
      </c>
      <c r="K92" s="1"/>
      <c r="L92" t="b">
        <v>0</v>
      </c>
    </row>
    <row r="93" spans="1:12" hidden="1" x14ac:dyDescent="0.3">
      <c r="A93">
        <v>146</v>
      </c>
      <c r="B93" t="s">
        <v>20</v>
      </c>
      <c r="C93" t="s">
        <v>19</v>
      </c>
      <c r="D93" s="1">
        <v>45717</v>
      </c>
      <c r="E93" s="1">
        <v>46075</v>
      </c>
      <c r="F93">
        <v>0</v>
      </c>
      <c r="G93" t="s">
        <v>242</v>
      </c>
      <c r="H93" t="s">
        <v>242</v>
      </c>
      <c r="I93" s="1" t="s">
        <v>242</v>
      </c>
      <c r="K93" s="1"/>
      <c r="L93" t="b">
        <v>0</v>
      </c>
    </row>
    <row r="94" spans="1:12" hidden="1" x14ac:dyDescent="0.3">
      <c r="A94">
        <v>147</v>
      </c>
      <c r="B94" t="s">
        <v>18</v>
      </c>
      <c r="C94" t="s">
        <v>19</v>
      </c>
      <c r="D94" s="1">
        <v>45717</v>
      </c>
      <c r="E94" s="1">
        <v>46075</v>
      </c>
      <c r="F94">
        <v>0</v>
      </c>
      <c r="G94" t="s">
        <v>242</v>
      </c>
      <c r="H94" t="s">
        <v>242</v>
      </c>
      <c r="I94" t="s">
        <v>242</v>
      </c>
      <c r="K94" s="1"/>
      <c r="L94" t="b">
        <v>0</v>
      </c>
    </row>
    <row r="95" spans="1:12" hidden="1" x14ac:dyDescent="0.3">
      <c r="A95">
        <v>149</v>
      </c>
      <c r="B95" t="s">
        <v>18</v>
      </c>
      <c r="C95" t="s">
        <v>19</v>
      </c>
      <c r="D95" s="1">
        <v>46082</v>
      </c>
      <c r="E95" s="1">
        <v>46075</v>
      </c>
      <c r="F95">
        <v>0</v>
      </c>
      <c r="G95" t="s">
        <v>242</v>
      </c>
      <c r="H95" t="s">
        <v>242</v>
      </c>
      <c r="I95" t="s">
        <v>242</v>
      </c>
      <c r="K95" s="1"/>
      <c r="L95" t="b">
        <v>0</v>
      </c>
    </row>
    <row r="96" spans="1:12" hidden="1" x14ac:dyDescent="0.3">
      <c r="A96">
        <v>150</v>
      </c>
      <c r="B96" t="s">
        <v>36</v>
      </c>
      <c r="C96" t="s">
        <v>19</v>
      </c>
      <c r="D96" s="1">
        <v>45717</v>
      </c>
      <c r="E96" s="1">
        <v>46075</v>
      </c>
      <c r="F96">
        <v>0</v>
      </c>
      <c r="G96" t="s">
        <v>242</v>
      </c>
      <c r="H96" t="s">
        <v>242</v>
      </c>
      <c r="I96" t="s">
        <v>242</v>
      </c>
      <c r="K96" s="1"/>
      <c r="L96" t="b">
        <v>0</v>
      </c>
    </row>
    <row r="97" spans="1:12" hidden="1" x14ac:dyDescent="0.3">
      <c r="A97">
        <v>151</v>
      </c>
      <c r="B97" t="s">
        <v>25</v>
      </c>
      <c r="C97" t="s">
        <v>19</v>
      </c>
      <c r="D97" s="1">
        <v>45658</v>
      </c>
      <c r="E97" s="1">
        <v>46075</v>
      </c>
      <c r="F97">
        <v>0</v>
      </c>
      <c r="G97" t="s">
        <v>242</v>
      </c>
      <c r="H97" t="s">
        <v>242</v>
      </c>
      <c r="I97" t="s">
        <v>242</v>
      </c>
      <c r="K97" s="1"/>
      <c r="L97" t="b">
        <v>0</v>
      </c>
    </row>
    <row r="98" spans="1:12" hidden="1" x14ac:dyDescent="0.3">
      <c r="A98">
        <v>152</v>
      </c>
      <c r="B98" t="s">
        <v>18</v>
      </c>
      <c r="C98" t="s">
        <v>19</v>
      </c>
      <c r="D98" s="1">
        <v>45717</v>
      </c>
      <c r="E98" s="1">
        <v>46075</v>
      </c>
      <c r="F98">
        <v>0</v>
      </c>
      <c r="G98" t="s">
        <v>242</v>
      </c>
      <c r="H98" t="s">
        <v>242</v>
      </c>
      <c r="I98" t="s">
        <v>242</v>
      </c>
      <c r="K98" s="1"/>
      <c r="L98" t="b">
        <v>0</v>
      </c>
    </row>
    <row r="99" spans="1:12" hidden="1" x14ac:dyDescent="0.3">
      <c r="A99">
        <v>155</v>
      </c>
      <c r="B99" t="s">
        <v>20</v>
      </c>
      <c r="C99" t="s">
        <v>12</v>
      </c>
      <c r="D99" s="1">
        <v>45717</v>
      </c>
      <c r="E99" s="1">
        <v>46075</v>
      </c>
      <c r="F99">
        <v>0</v>
      </c>
      <c r="G99" t="s">
        <v>242</v>
      </c>
      <c r="H99" t="s">
        <v>242</v>
      </c>
      <c r="I99" t="s">
        <v>242</v>
      </c>
      <c r="K99" s="1"/>
      <c r="L99" t="b">
        <v>0</v>
      </c>
    </row>
    <row r="100" spans="1:12" hidden="1" x14ac:dyDescent="0.3">
      <c r="A100">
        <v>158</v>
      </c>
      <c r="B100" t="s">
        <v>18</v>
      </c>
      <c r="C100" t="s">
        <v>19</v>
      </c>
      <c r="D100" s="1">
        <v>45717</v>
      </c>
      <c r="E100" s="1">
        <v>46075</v>
      </c>
      <c r="F100">
        <v>0</v>
      </c>
      <c r="G100" t="s">
        <v>242</v>
      </c>
      <c r="H100" t="s">
        <v>242</v>
      </c>
      <c r="I100" t="s">
        <v>242</v>
      </c>
      <c r="K100" s="1"/>
      <c r="L100" t="b">
        <v>0</v>
      </c>
    </row>
    <row r="101" spans="1:12" hidden="1" x14ac:dyDescent="0.3">
      <c r="A101">
        <v>163</v>
      </c>
      <c r="B101" t="s">
        <v>18</v>
      </c>
      <c r="C101" t="s">
        <v>19</v>
      </c>
      <c r="D101" s="1">
        <v>45717</v>
      </c>
      <c r="E101" s="1">
        <v>46075</v>
      </c>
      <c r="F101">
        <v>0</v>
      </c>
      <c r="G101" t="s">
        <v>242</v>
      </c>
      <c r="H101" t="s">
        <v>242</v>
      </c>
      <c r="I101" t="s">
        <v>242</v>
      </c>
      <c r="K101" s="1"/>
      <c r="L101" t="b">
        <v>0</v>
      </c>
    </row>
    <row r="102" spans="1:12" hidden="1" x14ac:dyDescent="0.3">
      <c r="A102">
        <v>164</v>
      </c>
      <c r="B102" t="s">
        <v>21</v>
      </c>
      <c r="C102" t="s">
        <v>19</v>
      </c>
      <c r="D102" s="1">
        <v>46082</v>
      </c>
      <c r="E102" s="1">
        <v>46075</v>
      </c>
      <c r="F102">
        <v>0</v>
      </c>
      <c r="G102" t="s">
        <v>242</v>
      </c>
      <c r="H102" t="s">
        <v>242</v>
      </c>
      <c r="I102" t="s">
        <v>242</v>
      </c>
      <c r="K102" s="1"/>
      <c r="L102" t="b">
        <v>0</v>
      </c>
    </row>
    <row r="103" spans="1:12" hidden="1" x14ac:dyDescent="0.3">
      <c r="A103">
        <v>165</v>
      </c>
      <c r="B103" t="s">
        <v>20</v>
      </c>
      <c r="C103" t="s">
        <v>19</v>
      </c>
      <c r="D103" s="1">
        <v>45717</v>
      </c>
      <c r="E103" s="1">
        <v>46075</v>
      </c>
      <c r="F103">
        <v>0</v>
      </c>
      <c r="G103" t="s">
        <v>242</v>
      </c>
      <c r="H103" t="s">
        <v>242</v>
      </c>
      <c r="I103" s="1" t="s">
        <v>242</v>
      </c>
      <c r="K103" s="1"/>
      <c r="L103" t="b">
        <v>0</v>
      </c>
    </row>
    <row r="104" spans="1:12" hidden="1" x14ac:dyDescent="0.3">
      <c r="A104">
        <v>167</v>
      </c>
      <c r="B104" t="s">
        <v>20</v>
      </c>
      <c r="C104" t="s">
        <v>19</v>
      </c>
      <c r="D104" s="1">
        <v>45717</v>
      </c>
      <c r="E104" s="1">
        <v>46075</v>
      </c>
      <c r="F104">
        <v>0</v>
      </c>
      <c r="G104" t="s">
        <v>242</v>
      </c>
      <c r="H104" t="s">
        <v>242</v>
      </c>
      <c r="I104" t="s">
        <v>242</v>
      </c>
      <c r="K104" s="1"/>
      <c r="L104" t="b">
        <v>0</v>
      </c>
    </row>
    <row r="105" spans="1:12" hidden="1" x14ac:dyDescent="0.3">
      <c r="A105">
        <v>168</v>
      </c>
      <c r="B105" t="s">
        <v>18</v>
      </c>
      <c r="C105" t="s">
        <v>19</v>
      </c>
      <c r="D105" s="1">
        <v>45717</v>
      </c>
      <c r="E105" s="1">
        <v>46075</v>
      </c>
      <c r="F105">
        <v>0</v>
      </c>
      <c r="G105" t="s">
        <v>242</v>
      </c>
      <c r="H105" t="s">
        <v>242</v>
      </c>
      <c r="I105" t="s">
        <v>242</v>
      </c>
      <c r="K105" s="1"/>
      <c r="L105" t="b">
        <v>0</v>
      </c>
    </row>
    <row r="106" spans="1:12" x14ac:dyDescent="0.3">
      <c r="A106">
        <v>169</v>
      </c>
      <c r="B106" t="s">
        <v>36</v>
      </c>
      <c r="C106" t="s">
        <v>12</v>
      </c>
      <c r="D106" s="1">
        <v>45931</v>
      </c>
      <c r="E106" s="1">
        <v>46075</v>
      </c>
      <c r="F106">
        <v>7200</v>
      </c>
      <c r="G106" t="s">
        <v>301</v>
      </c>
      <c r="H106" t="s">
        <v>242</v>
      </c>
      <c r="I106" t="s">
        <v>242</v>
      </c>
      <c r="J106">
        <v>16640</v>
      </c>
      <c r="K106" s="1">
        <v>46166</v>
      </c>
      <c r="L106" t="b">
        <v>1</v>
      </c>
    </row>
    <row r="107" spans="1:12" x14ac:dyDescent="0.3">
      <c r="A107">
        <v>170</v>
      </c>
      <c r="B107" t="s">
        <v>36</v>
      </c>
      <c r="C107" t="s">
        <v>12</v>
      </c>
      <c r="D107" s="1">
        <v>45931</v>
      </c>
      <c r="E107" s="1">
        <v>46075</v>
      </c>
      <c r="F107">
        <v>7200</v>
      </c>
      <c r="G107" t="s">
        <v>302</v>
      </c>
      <c r="H107" t="s">
        <v>242</v>
      </c>
      <c r="I107" t="s">
        <v>242</v>
      </c>
      <c r="J107">
        <v>15040</v>
      </c>
      <c r="K107" s="1">
        <v>46169</v>
      </c>
      <c r="L107" t="b">
        <v>1</v>
      </c>
    </row>
    <row r="108" spans="1:12" x14ac:dyDescent="0.3">
      <c r="A108">
        <v>171</v>
      </c>
      <c r="B108" t="s">
        <v>36</v>
      </c>
      <c r="C108" t="s">
        <v>12</v>
      </c>
      <c r="D108" s="1">
        <v>45931</v>
      </c>
      <c r="E108" s="1">
        <v>46075</v>
      </c>
      <c r="F108">
        <v>7200</v>
      </c>
      <c r="G108" t="s">
        <v>303</v>
      </c>
      <c r="H108" t="s">
        <v>242</v>
      </c>
      <c r="I108" t="s">
        <v>242</v>
      </c>
      <c r="J108">
        <v>16800</v>
      </c>
      <c r="K108" s="1">
        <v>46163</v>
      </c>
      <c r="L108" t="b">
        <v>1</v>
      </c>
    </row>
    <row r="109" spans="1:12" x14ac:dyDescent="0.3">
      <c r="A109">
        <v>172</v>
      </c>
      <c r="B109" t="s">
        <v>36</v>
      </c>
      <c r="C109" t="s">
        <v>12</v>
      </c>
      <c r="D109" s="1">
        <v>45931</v>
      </c>
      <c r="E109" s="1">
        <v>46075</v>
      </c>
      <c r="F109">
        <v>7200</v>
      </c>
      <c r="G109" t="s">
        <v>304</v>
      </c>
      <c r="H109" t="s">
        <v>242</v>
      </c>
      <c r="I109" t="s">
        <v>242</v>
      </c>
      <c r="J109">
        <v>14912</v>
      </c>
      <c r="K109" s="1">
        <v>46169</v>
      </c>
      <c r="L109" t="b">
        <v>1</v>
      </c>
    </row>
    <row r="110" spans="1:12" x14ac:dyDescent="0.3">
      <c r="A110">
        <v>173</v>
      </c>
      <c r="B110" t="s">
        <v>36</v>
      </c>
      <c r="C110" t="s">
        <v>12</v>
      </c>
      <c r="D110" s="1">
        <v>45931</v>
      </c>
      <c r="E110" s="1">
        <v>46075</v>
      </c>
      <c r="F110">
        <v>7200</v>
      </c>
      <c r="G110" t="s">
        <v>305</v>
      </c>
      <c r="H110" t="s">
        <v>242</v>
      </c>
      <c r="I110" t="s">
        <v>242</v>
      </c>
      <c r="J110">
        <v>16800</v>
      </c>
      <c r="K110" s="1">
        <v>46169</v>
      </c>
      <c r="L110" t="b">
        <v>1</v>
      </c>
    </row>
    <row r="111" spans="1:12" x14ac:dyDescent="0.3">
      <c r="A111">
        <v>174</v>
      </c>
      <c r="B111" t="s">
        <v>36</v>
      </c>
      <c r="C111" t="s">
        <v>12</v>
      </c>
      <c r="D111" s="1">
        <v>45931</v>
      </c>
      <c r="E111" s="1">
        <v>46075</v>
      </c>
      <c r="F111">
        <v>7200</v>
      </c>
      <c r="G111" t="s">
        <v>306</v>
      </c>
      <c r="H111" t="s">
        <v>242</v>
      </c>
      <c r="I111" t="s">
        <v>242</v>
      </c>
      <c r="J111">
        <v>16960</v>
      </c>
      <c r="K111" s="1">
        <v>46167</v>
      </c>
      <c r="L111" t="b">
        <v>1</v>
      </c>
    </row>
    <row r="112" spans="1:12" x14ac:dyDescent="0.3">
      <c r="A112">
        <v>175</v>
      </c>
      <c r="B112" t="s">
        <v>36</v>
      </c>
      <c r="C112" t="s">
        <v>12</v>
      </c>
      <c r="D112" s="1">
        <v>45931</v>
      </c>
      <c r="E112" s="1">
        <v>46075</v>
      </c>
      <c r="F112">
        <v>7200</v>
      </c>
      <c r="G112" t="s">
        <v>307</v>
      </c>
      <c r="H112" t="s">
        <v>242</v>
      </c>
      <c r="I112" t="s">
        <v>242</v>
      </c>
      <c r="J112">
        <v>15040</v>
      </c>
      <c r="K112" s="1">
        <v>46166</v>
      </c>
      <c r="L112" t="b">
        <v>1</v>
      </c>
    </row>
    <row r="113" spans="1:12" x14ac:dyDescent="0.3">
      <c r="A113">
        <v>176</v>
      </c>
      <c r="B113" t="s">
        <v>36</v>
      </c>
      <c r="C113" t="s">
        <v>12</v>
      </c>
      <c r="D113" s="1">
        <v>45931</v>
      </c>
      <c r="E113" s="1">
        <v>46075</v>
      </c>
      <c r="F113">
        <v>7200</v>
      </c>
      <c r="G113" t="s">
        <v>242</v>
      </c>
      <c r="H113" t="s">
        <v>242</v>
      </c>
      <c r="I113" t="s">
        <v>242</v>
      </c>
      <c r="J113">
        <v>12480</v>
      </c>
      <c r="K113" s="1">
        <v>46169</v>
      </c>
      <c r="L113" t="b">
        <v>1</v>
      </c>
    </row>
    <row r="114" spans="1:12" x14ac:dyDescent="0.3">
      <c r="A114">
        <v>177</v>
      </c>
      <c r="B114" t="s">
        <v>36</v>
      </c>
      <c r="C114" t="s">
        <v>12</v>
      </c>
      <c r="D114" s="1">
        <v>45931</v>
      </c>
      <c r="E114" s="1">
        <v>46075</v>
      </c>
      <c r="F114">
        <v>7200</v>
      </c>
      <c r="G114" t="s">
        <v>242</v>
      </c>
      <c r="H114" t="s">
        <v>242</v>
      </c>
      <c r="I114" t="s">
        <v>242</v>
      </c>
      <c r="J114">
        <v>14720</v>
      </c>
      <c r="K114" s="1">
        <v>46169</v>
      </c>
      <c r="L114" t="b">
        <v>1</v>
      </c>
    </row>
    <row r="115" spans="1:12" x14ac:dyDescent="0.3">
      <c r="A115">
        <v>178</v>
      </c>
      <c r="B115" t="s">
        <v>36</v>
      </c>
      <c r="C115" t="s">
        <v>12</v>
      </c>
      <c r="D115" s="1">
        <v>45931</v>
      </c>
      <c r="E115" s="1">
        <v>46075</v>
      </c>
      <c r="F115">
        <v>7200</v>
      </c>
      <c r="G115" t="s">
        <v>308</v>
      </c>
      <c r="H115" t="s">
        <v>242</v>
      </c>
      <c r="I115" t="s">
        <v>242</v>
      </c>
      <c r="J115">
        <v>19200</v>
      </c>
      <c r="K115" s="1">
        <v>46169</v>
      </c>
      <c r="L115" t="b">
        <v>1</v>
      </c>
    </row>
    <row r="116" spans="1:12" x14ac:dyDescent="0.3">
      <c r="A116">
        <v>179</v>
      </c>
      <c r="B116" t="s">
        <v>36</v>
      </c>
      <c r="C116" t="s">
        <v>12</v>
      </c>
      <c r="D116" s="1">
        <v>45931</v>
      </c>
      <c r="E116" s="1">
        <v>46075</v>
      </c>
      <c r="F116">
        <v>7200</v>
      </c>
      <c r="G116" t="s">
        <v>309</v>
      </c>
      <c r="H116" t="s">
        <v>242</v>
      </c>
      <c r="I116" t="s">
        <v>242</v>
      </c>
      <c r="J116">
        <v>15360</v>
      </c>
      <c r="K116" s="1">
        <v>46169</v>
      </c>
      <c r="L116" t="b">
        <v>1</v>
      </c>
    </row>
    <row r="117" spans="1:12" hidden="1" x14ac:dyDescent="0.3">
      <c r="A117">
        <v>182</v>
      </c>
      <c r="B117" t="s">
        <v>18</v>
      </c>
      <c r="C117" t="s">
        <v>19</v>
      </c>
      <c r="D117" s="1">
        <v>45717</v>
      </c>
      <c r="E117" s="1">
        <v>46075</v>
      </c>
      <c r="F117">
        <v>0</v>
      </c>
      <c r="G117" t="s">
        <v>242</v>
      </c>
      <c r="H117" t="s">
        <v>242</v>
      </c>
      <c r="I117" t="s">
        <v>242</v>
      </c>
      <c r="K117" s="1"/>
      <c r="L117" t="b">
        <v>0</v>
      </c>
    </row>
    <row r="118" spans="1:12" hidden="1" x14ac:dyDescent="0.3">
      <c r="A118">
        <v>183</v>
      </c>
      <c r="B118" t="s">
        <v>18</v>
      </c>
      <c r="C118" t="s">
        <v>19</v>
      </c>
      <c r="D118" s="1">
        <v>45717</v>
      </c>
      <c r="E118" s="1">
        <v>46075</v>
      </c>
      <c r="F118">
        <v>0</v>
      </c>
      <c r="G118" t="s">
        <v>242</v>
      </c>
      <c r="H118" t="s">
        <v>242</v>
      </c>
      <c r="I118" t="s">
        <v>242</v>
      </c>
      <c r="K118" s="1"/>
      <c r="L118" t="b">
        <v>0</v>
      </c>
    </row>
    <row r="119" spans="1:12" hidden="1" x14ac:dyDescent="0.3">
      <c r="A119">
        <v>184</v>
      </c>
      <c r="B119" t="s">
        <v>18</v>
      </c>
      <c r="C119" t="s">
        <v>19</v>
      </c>
      <c r="D119" s="1">
        <v>45717</v>
      </c>
      <c r="E119" s="1">
        <v>46075</v>
      </c>
      <c r="F119">
        <v>0</v>
      </c>
      <c r="G119" t="s">
        <v>242</v>
      </c>
      <c r="H119" t="s">
        <v>242</v>
      </c>
      <c r="I119" t="s">
        <v>242</v>
      </c>
      <c r="K119" s="1"/>
      <c r="L119" t="b">
        <v>0</v>
      </c>
    </row>
    <row r="120" spans="1:12" hidden="1" x14ac:dyDescent="0.3">
      <c r="A120">
        <v>185</v>
      </c>
      <c r="B120" t="s">
        <v>21</v>
      </c>
      <c r="C120" t="s">
        <v>19</v>
      </c>
      <c r="D120" s="1">
        <v>46082</v>
      </c>
      <c r="E120" s="1">
        <v>46075</v>
      </c>
      <c r="F120">
        <v>0</v>
      </c>
      <c r="G120" t="s">
        <v>242</v>
      </c>
      <c r="H120" t="s">
        <v>242</v>
      </c>
      <c r="I120" t="s">
        <v>242</v>
      </c>
      <c r="K120" s="1"/>
      <c r="L120" t="b">
        <v>0</v>
      </c>
    </row>
    <row r="121" spans="1:12" hidden="1" x14ac:dyDescent="0.3">
      <c r="A121">
        <v>186</v>
      </c>
      <c r="B121" t="s">
        <v>18</v>
      </c>
      <c r="C121" t="s">
        <v>19</v>
      </c>
      <c r="D121" s="1">
        <v>45717</v>
      </c>
      <c r="E121" s="1">
        <v>46075</v>
      </c>
      <c r="F121">
        <v>0</v>
      </c>
      <c r="G121" t="s">
        <v>242</v>
      </c>
      <c r="H121" t="s">
        <v>242</v>
      </c>
      <c r="I121" t="s">
        <v>242</v>
      </c>
      <c r="K121" s="1"/>
      <c r="L121" t="b">
        <v>0</v>
      </c>
    </row>
    <row r="122" spans="1:12" hidden="1" x14ac:dyDescent="0.3">
      <c r="A122">
        <v>187</v>
      </c>
      <c r="B122" t="s">
        <v>18</v>
      </c>
      <c r="C122" t="s">
        <v>19</v>
      </c>
      <c r="D122" s="1">
        <v>45717</v>
      </c>
      <c r="E122" s="1">
        <v>46075</v>
      </c>
      <c r="F122">
        <v>0</v>
      </c>
      <c r="G122" t="s">
        <v>242</v>
      </c>
      <c r="H122" t="s">
        <v>242</v>
      </c>
      <c r="I122" t="s">
        <v>242</v>
      </c>
      <c r="K122" s="1"/>
      <c r="L122" t="b">
        <v>0</v>
      </c>
    </row>
    <row r="123" spans="1:12" hidden="1" x14ac:dyDescent="0.3">
      <c r="A123">
        <v>190</v>
      </c>
      <c r="B123" t="s">
        <v>18</v>
      </c>
      <c r="C123" t="s">
        <v>19</v>
      </c>
      <c r="D123" s="1">
        <v>45717</v>
      </c>
      <c r="E123" s="1">
        <v>46216</v>
      </c>
      <c r="F123">
        <v>0</v>
      </c>
      <c r="G123" t="s">
        <v>242</v>
      </c>
      <c r="H123" t="s">
        <v>242</v>
      </c>
      <c r="I123" t="s">
        <v>242</v>
      </c>
      <c r="K123" s="1"/>
      <c r="L123" t="b">
        <v>0</v>
      </c>
    </row>
    <row r="124" spans="1:12" hidden="1" x14ac:dyDescent="0.3">
      <c r="A124">
        <v>191</v>
      </c>
      <c r="B124" t="s">
        <v>18</v>
      </c>
      <c r="C124" t="s">
        <v>19</v>
      </c>
      <c r="D124" s="1">
        <v>45717</v>
      </c>
      <c r="E124" s="1">
        <v>46075</v>
      </c>
      <c r="F124">
        <v>0</v>
      </c>
      <c r="G124" t="s">
        <v>242</v>
      </c>
      <c r="H124" t="s">
        <v>242</v>
      </c>
      <c r="I124" t="s">
        <v>242</v>
      </c>
      <c r="K124" s="1"/>
      <c r="L124" t="b">
        <v>0</v>
      </c>
    </row>
    <row r="125" spans="1:12" hidden="1" x14ac:dyDescent="0.3">
      <c r="A125">
        <v>192</v>
      </c>
      <c r="B125" t="s">
        <v>20</v>
      </c>
      <c r="C125" t="s">
        <v>19</v>
      </c>
      <c r="D125" s="1">
        <v>45717</v>
      </c>
      <c r="E125" s="1">
        <v>46075</v>
      </c>
      <c r="F125">
        <v>0</v>
      </c>
      <c r="G125" t="s">
        <v>242</v>
      </c>
      <c r="H125" t="s">
        <v>242</v>
      </c>
      <c r="I125" t="s">
        <v>242</v>
      </c>
      <c r="K125" s="1"/>
      <c r="L125" t="b">
        <v>0</v>
      </c>
    </row>
    <row r="126" spans="1:12" hidden="1" x14ac:dyDescent="0.3">
      <c r="A126">
        <v>193</v>
      </c>
      <c r="B126" t="s">
        <v>20</v>
      </c>
      <c r="C126" t="s">
        <v>19</v>
      </c>
      <c r="D126" s="1">
        <v>45717</v>
      </c>
      <c r="E126" s="1">
        <v>46075</v>
      </c>
      <c r="F126">
        <v>0</v>
      </c>
      <c r="G126" t="s">
        <v>242</v>
      </c>
      <c r="H126" t="s">
        <v>242</v>
      </c>
      <c r="I126" t="s">
        <v>242</v>
      </c>
      <c r="K126" s="1"/>
      <c r="L126" t="b">
        <v>0</v>
      </c>
    </row>
    <row r="127" spans="1:12" hidden="1" x14ac:dyDescent="0.3">
      <c r="A127">
        <v>195</v>
      </c>
      <c r="B127" t="s">
        <v>21</v>
      </c>
      <c r="C127" t="s">
        <v>19</v>
      </c>
      <c r="D127" s="1">
        <v>46082</v>
      </c>
      <c r="E127" s="1">
        <v>46075</v>
      </c>
      <c r="F127">
        <v>0</v>
      </c>
      <c r="G127" t="s">
        <v>242</v>
      </c>
      <c r="H127" t="s">
        <v>242</v>
      </c>
      <c r="I127" t="s">
        <v>242</v>
      </c>
      <c r="K127" s="1"/>
      <c r="L127" t="b">
        <v>0</v>
      </c>
    </row>
    <row r="128" spans="1:12" hidden="1" x14ac:dyDescent="0.3">
      <c r="A128">
        <v>196</v>
      </c>
      <c r="B128" t="s">
        <v>18</v>
      </c>
      <c r="C128" t="s">
        <v>19</v>
      </c>
      <c r="D128" s="1">
        <v>45717</v>
      </c>
      <c r="E128" s="1">
        <v>46075</v>
      </c>
      <c r="F128">
        <v>0</v>
      </c>
      <c r="G128" t="s">
        <v>242</v>
      </c>
      <c r="H128" t="s">
        <v>242</v>
      </c>
      <c r="I128" t="s">
        <v>242</v>
      </c>
      <c r="K128" s="1"/>
      <c r="L128" t="b">
        <v>0</v>
      </c>
    </row>
    <row r="129" spans="1:12" x14ac:dyDescent="0.3">
      <c r="A129">
        <v>197</v>
      </c>
      <c r="B129" t="s">
        <v>36</v>
      </c>
      <c r="C129" t="s">
        <v>12</v>
      </c>
      <c r="D129" s="1">
        <v>45931</v>
      </c>
      <c r="E129" s="1">
        <v>46075</v>
      </c>
      <c r="F129">
        <v>7200</v>
      </c>
      <c r="G129" t="s">
        <v>302</v>
      </c>
      <c r="H129" t="s">
        <v>242</v>
      </c>
      <c r="I129" t="s">
        <v>242</v>
      </c>
      <c r="J129">
        <v>15040</v>
      </c>
      <c r="K129" s="1">
        <v>46169</v>
      </c>
      <c r="L129" t="b">
        <v>1</v>
      </c>
    </row>
    <row r="130" spans="1:12" x14ac:dyDescent="0.3">
      <c r="A130">
        <v>198</v>
      </c>
      <c r="B130" t="s">
        <v>36</v>
      </c>
      <c r="C130" t="s">
        <v>12</v>
      </c>
      <c r="D130" s="1">
        <v>45931</v>
      </c>
      <c r="E130" s="1">
        <v>46075</v>
      </c>
      <c r="F130">
        <v>7200</v>
      </c>
      <c r="G130" t="s">
        <v>310</v>
      </c>
      <c r="H130" t="s">
        <v>242</v>
      </c>
      <c r="I130" t="s">
        <v>242</v>
      </c>
      <c r="J130">
        <v>15680</v>
      </c>
      <c r="K130" s="1">
        <v>46166</v>
      </c>
      <c r="L130" t="b">
        <v>1</v>
      </c>
    </row>
    <row r="131" spans="1:12" x14ac:dyDescent="0.3">
      <c r="A131">
        <v>199</v>
      </c>
      <c r="B131" t="s">
        <v>36</v>
      </c>
      <c r="C131" t="s">
        <v>12</v>
      </c>
      <c r="D131" s="1">
        <v>45931</v>
      </c>
      <c r="E131" s="1">
        <v>46075</v>
      </c>
      <c r="F131">
        <v>7200</v>
      </c>
      <c r="G131" t="s">
        <v>311</v>
      </c>
      <c r="H131" t="s">
        <v>242</v>
      </c>
      <c r="I131" t="s">
        <v>242</v>
      </c>
      <c r="J131">
        <v>16896</v>
      </c>
      <c r="K131" s="1">
        <v>46163</v>
      </c>
      <c r="L131" t="b">
        <v>1</v>
      </c>
    </row>
    <row r="132" spans="1:12" x14ac:dyDescent="0.3">
      <c r="A132">
        <v>200</v>
      </c>
      <c r="B132" t="s">
        <v>36</v>
      </c>
      <c r="C132" t="s">
        <v>12</v>
      </c>
      <c r="D132" s="1">
        <v>45931</v>
      </c>
      <c r="E132" s="1">
        <v>46075</v>
      </c>
      <c r="F132">
        <v>7200</v>
      </c>
      <c r="G132" t="s">
        <v>312</v>
      </c>
      <c r="H132" t="s">
        <v>242</v>
      </c>
      <c r="I132" t="s">
        <v>242</v>
      </c>
      <c r="J132">
        <v>13632</v>
      </c>
      <c r="K132" s="1">
        <v>46169</v>
      </c>
      <c r="L132" t="b">
        <v>1</v>
      </c>
    </row>
    <row r="133" spans="1:12" hidden="1" x14ac:dyDescent="0.3">
      <c r="A133">
        <v>301</v>
      </c>
      <c r="B133" t="s">
        <v>21</v>
      </c>
      <c r="C133" t="s">
        <v>19</v>
      </c>
      <c r="D133" s="1">
        <v>46082</v>
      </c>
      <c r="E133" s="1">
        <v>46075</v>
      </c>
      <c r="F133">
        <v>0</v>
      </c>
      <c r="G133" t="s">
        <v>242</v>
      </c>
      <c r="H133" t="s">
        <v>242</v>
      </c>
      <c r="I133" t="s">
        <v>242</v>
      </c>
      <c r="K133" s="1"/>
      <c r="L133" t="b">
        <v>0</v>
      </c>
    </row>
    <row r="134" spans="1:12" hidden="1" x14ac:dyDescent="0.3">
      <c r="A134">
        <v>302</v>
      </c>
      <c r="B134" t="s">
        <v>24</v>
      </c>
      <c r="C134" t="s">
        <v>19</v>
      </c>
      <c r="D134" s="1">
        <v>46082</v>
      </c>
      <c r="E134" s="1">
        <v>46075</v>
      </c>
      <c r="F134">
        <v>0</v>
      </c>
      <c r="G134" t="s">
        <v>242</v>
      </c>
      <c r="H134" t="s">
        <v>242</v>
      </c>
      <c r="I134" t="s">
        <v>242</v>
      </c>
      <c r="K134" s="1"/>
      <c r="L134" t="b">
        <v>0</v>
      </c>
    </row>
    <row r="135" spans="1:12" hidden="1" x14ac:dyDescent="0.3">
      <c r="A135">
        <v>303</v>
      </c>
      <c r="B135" t="s">
        <v>36</v>
      </c>
      <c r="C135" t="s">
        <v>19</v>
      </c>
      <c r="D135" s="1">
        <v>46082</v>
      </c>
      <c r="E135" s="1">
        <v>46075</v>
      </c>
      <c r="F135">
        <v>0</v>
      </c>
      <c r="G135" t="s">
        <v>242</v>
      </c>
      <c r="H135" t="s">
        <v>242</v>
      </c>
      <c r="I135" t="s">
        <v>242</v>
      </c>
      <c r="K135" s="1"/>
      <c r="L135" t="b">
        <v>0</v>
      </c>
    </row>
    <row r="136" spans="1:12" hidden="1" x14ac:dyDescent="0.3">
      <c r="A136">
        <v>304</v>
      </c>
      <c r="B136" t="s">
        <v>24</v>
      </c>
      <c r="C136" t="s">
        <v>19</v>
      </c>
      <c r="D136" s="1">
        <v>46082</v>
      </c>
      <c r="E136" s="1">
        <v>46075</v>
      </c>
      <c r="F136">
        <v>0</v>
      </c>
      <c r="G136" t="s">
        <v>242</v>
      </c>
      <c r="H136" t="s">
        <v>242</v>
      </c>
      <c r="I136" t="s">
        <v>242</v>
      </c>
      <c r="K136" s="1"/>
      <c r="L136" t="b">
        <v>0</v>
      </c>
    </row>
    <row r="137" spans="1:12" hidden="1" x14ac:dyDescent="0.3">
      <c r="A137">
        <v>305</v>
      </c>
      <c r="B137" t="s">
        <v>21</v>
      </c>
      <c r="C137" t="s">
        <v>19</v>
      </c>
      <c r="D137" s="1">
        <v>46082</v>
      </c>
      <c r="E137" s="1">
        <v>46075</v>
      </c>
      <c r="F137">
        <v>0</v>
      </c>
      <c r="G137" t="s">
        <v>242</v>
      </c>
      <c r="H137" t="s">
        <v>242</v>
      </c>
      <c r="I137" t="s">
        <v>242</v>
      </c>
      <c r="K137" s="1"/>
      <c r="L137" t="b">
        <v>0</v>
      </c>
    </row>
    <row r="138" spans="1:12" hidden="1" x14ac:dyDescent="0.3">
      <c r="A138">
        <v>306</v>
      </c>
      <c r="B138" t="s">
        <v>21</v>
      </c>
      <c r="C138" t="s">
        <v>19</v>
      </c>
      <c r="D138" s="1">
        <v>46082</v>
      </c>
      <c r="E138" s="1">
        <v>46075</v>
      </c>
      <c r="F138">
        <v>0</v>
      </c>
      <c r="G138" t="s">
        <v>242</v>
      </c>
      <c r="H138" t="s">
        <v>242</v>
      </c>
      <c r="I138" t="s">
        <v>242</v>
      </c>
      <c r="K138" s="1"/>
      <c r="L138" t="b">
        <v>0</v>
      </c>
    </row>
    <row r="139" spans="1:12" hidden="1" x14ac:dyDescent="0.3">
      <c r="A139">
        <v>307</v>
      </c>
      <c r="B139" t="s">
        <v>18</v>
      </c>
      <c r="C139" t="s">
        <v>19</v>
      </c>
      <c r="D139" s="1">
        <v>45717</v>
      </c>
      <c r="E139" s="1">
        <v>46075</v>
      </c>
      <c r="F139">
        <v>0</v>
      </c>
      <c r="G139" t="s">
        <v>242</v>
      </c>
      <c r="H139" t="s">
        <v>242</v>
      </c>
      <c r="I139" t="s">
        <v>242</v>
      </c>
      <c r="K139" s="1"/>
      <c r="L139" t="b">
        <v>0</v>
      </c>
    </row>
    <row r="140" spans="1:12" hidden="1" x14ac:dyDescent="0.3">
      <c r="A140">
        <v>308</v>
      </c>
      <c r="B140" t="s">
        <v>21</v>
      </c>
      <c r="C140" t="s">
        <v>19</v>
      </c>
      <c r="D140" s="1">
        <v>46082</v>
      </c>
      <c r="E140" s="1">
        <v>46075</v>
      </c>
      <c r="F140">
        <v>0</v>
      </c>
      <c r="G140" t="s">
        <v>242</v>
      </c>
      <c r="H140" t="s">
        <v>242</v>
      </c>
      <c r="I140" t="s">
        <v>242</v>
      </c>
      <c r="K140" s="1"/>
      <c r="L140" t="b">
        <v>0</v>
      </c>
    </row>
    <row r="141" spans="1:12" hidden="1" x14ac:dyDescent="0.3">
      <c r="A141">
        <v>309</v>
      </c>
      <c r="B141" t="s">
        <v>18</v>
      </c>
      <c r="C141" t="s">
        <v>19</v>
      </c>
      <c r="D141" s="1">
        <v>45717</v>
      </c>
      <c r="E141" s="1">
        <v>46075</v>
      </c>
      <c r="F141">
        <v>0</v>
      </c>
      <c r="G141" t="s">
        <v>242</v>
      </c>
      <c r="H141" t="s">
        <v>242</v>
      </c>
      <c r="I141" t="s">
        <v>242</v>
      </c>
      <c r="K141" s="1"/>
      <c r="L141" t="b">
        <v>0</v>
      </c>
    </row>
    <row r="142" spans="1:12" hidden="1" x14ac:dyDescent="0.3">
      <c r="A142">
        <v>310</v>
      </c>
      <c r="B142" t="s">
        <v>24</v>
      </c>
      <c r="C142" t="s">
        <v>19</v>
      </c>
      <c r="D142" s="1">
        <v>46082</v>
      </c>
      <c r="E142" s="1">
        <v>46075</v>
      </c>
      <c r="F142">
        <v>0</v>
      </c>
      <c r="G142" t="s">
        <v>242</v>
      </c>
      <c r="H142" t="s">
        <v>242</v>
      </c>
      <c r="I142" t="s">
        <v>242</v>
      </c>
      <c r="K142" s="1"/>
      <c r="L142" t="b">
        <v>0</v>
      </c>
    </row>
    <row r="143" spans="1:12" hidden="1" x14ac:dyDescent="0.3">
      <c r="A143">
        <v>311</v>
      </c>
      <c r="B143" t="s">
        <v>20</v>
      </c>
      <c r="C143" t="s">
        <v>19</v>
      </c>
      <c r="D143" s="1">
        <v>45717</v>
      </c>
      <c r="E143" s="1">
        <v>46075</v>
      </c>
      <c r="F143">
        <v>0</v>
      </c>
      <c r="G143" t="s">
        <v>242</v>
      </c>
      <c r="H143" t="s">
        <v>242</v>
      </c>
      <c r="I143" t="s">
        <v>242</v>
      </c>
      <c r="K143" s="1"/>
      <c r="L143" t="b">
        <v>0</v>
      </c>
    </row>
    <row r="144" spans="1:12" hidden="1" x14ac:dyDescent="0.3">
      <c r="A144">
        <v>312</v>
      </c>
      <c r="B144" t="s">
        <v>18</v>
      </c>
      <c r="C144" t="s">
        <v>19</v>
      </c>
      <c r="D144" s="1">
        <v>45717</v>
      </c>
      <c r="E144" s="1">
        <v>46075</v>
      </c>
      <c r="F144">
        <v>0</v>
      </c>
      <c r="G144" t="s">
        <v>242</v>
      </c>
      <c r="H144" t="s">
        <v>242</v>
      </c>
      <c r="I144" t="s">
        <v>242</v>
      </c>
      <c r="K144" s="1"/>
      <c r="L144" t="b">
        <v>0</v>
      </c>
    </row>
    <row r="145" spans="1:12" hidden="1" x14ac:dyDescent="0.3">
      <c r="A145">
        <v>313</v>
      </c>
      <c r="B145" t="s">
        <v>23</v>
      </c>
      <c r="C145" t="s">
        <v>19</v>
      </c>
      <c r="D145" s="1">
        <v>46124</v>
      </c>
      <c r="E145" s="1">
        <v>46075</v>
      </c>
      <c r="F145">
        <v>0</v>
      </c>
      <c r="G145" t="s">
        <v>242</v>
      </c>
      <c r="H145" t="s">
        <v>242</v>
      </c>
      <c r="I145" t="s">
        <v>242</v>
      </c>
      <c r="K145" s="1"/>
      <c r="L145" t="b">
        <v>0</v>
      </c>
    </row>
    <row r="146" spans="1:12" hidden="1" x14ac:dyDescent="0.3">
      <c r="A146">
        <v>314</v>
      </c>
      <c r="B146" t="s">
        <v>27</v>
      </c>
      <c r="C146" t="s">
        <v>19</v>
      </c>
      <c r="D146" s="1">
        <v>45717</v>
      </c>
      <c r="E146" s="1">
        <v>46216</v>
      </c>
      <c r="F146">
        <v>0</v>
      </c>
      <c r="G146" t="s">
        <v>242</v>
      </c>
      <c r="H146" t="s">
        <v>242</v>
      </c>
      <c r="I146" t="s">
        <v>242</v>
      </c>
      <c r="K146" s="1"/>
      <c r="L146" t="b">
        <v>0</v>
      </c>
    </row>
    <row r="147" spans="1:12" hidden="1" x14ac:dyDescent="0.3">
      <c r="A147">
        <v>315</v>
      </c>
      <c r="B147" t="s">
        <v>27</v>
      </c>
      <c r="C147" t="s">
        <v>19</v>
      </c>
      <c r="D147" s="1">
        <v>46208</v>
      </c>
      <c r="E147" s="1">
        <v>46208</v>
      </c>
      <c r="G147" t="s">
        <v>242</v>
      </c>
      <c r="H147" t="s">
        <v>242</v>
      </c>
      <c r="I147" t="s">
        <v>242</v>
      </c>
      <c r="K147" s="1"/>
      <c r="L147" t="b">
        <v>0</v>
      </c>
    </row>
    <row r="148" spans="1:12" hidden="1" x14ac:dyDescent="0.3">
      <c r="A148">
        <v>316</v>
      </c>
      <c r="B148" t="s">
        <v>28</v>
      </c>
      <c r="C148" t="s">
        <v>19</v>
      </c>
      <c r="D148" s="1">
        <v>45717</v>
      </c>
      <c r="E148" s="1">
        <v>46216</v>
      </c>
      <c r="F148">
        <v>0</v>
      </c>
      <c r="G148" t="s">
        <v>242</v>
      </c>
      <c r="H148" t="s">
        <v>242</v>
      </c>
      <c r="I148" t="s">
        <v>242</v>
      </c>
      <c r="K148" s="1"/>
      <c r="L148" t="b">
        <v>0</v>
      </c>
    </row>
    <row r="149" spans="1:12" hidden="1" x14ac:dyDescent="0.3">
      <c r="A149">
        <v>317</v>
      </c>
      <c r="B149" t="s">
        <v>18</v>
      </c>
      <c r="C149" t="s">
        <v>19</v>
      </c>
      <c r="D149" s="1">
        <v>45717</v>
      </c>
      <c r="E149" s="1">
        <v>46075</v>
      </c>
      <c r="F149">
        <v>0</v>
      </c>
      <c r="G149" t="s">
        <v>242</v>
      </c>
      <c r="H149" t="s">
        <v>242</v>
      </c>
      <c r="I149" t="s">
        <v>242</v>
      </c>
      <c r="K149" s="1"/>
      <c r="L149" t="b">
        <v>0</v>
      </c>
    </row>
    <row r="150" spans="1:12" hidden="1" x14ac:dyDescent="0.3">
      <c r="A150">
        <v>318</v>
      </c>
      <c r="B150" t="s">
        <v>18</v>
      </c>
      <c r="C150" t="s">
        <v>19</v>
      </c>
      <c r="D150" s="1">
        <v>45717</v>
      </c>
      <c r="E150" s="1">
        <v>46075</v>
      </c>
      <c r="F150">
        <v>0</v>
      </c>
      <c r="G150" t="s">
        <v>242</v>
      </c>
      <c r="H150" t="s">
        <v>242</v>
      </c>
      <c r="I150" t="s">
        <v>242</v>
      </c>
      <c r="K150" s="1"/>
      <c r="L150" t="b">
        <v>0</v>
      </c>
    </row>
    <row r="151" spans="1:12" hidden="1" x14ac:dyDescent="0.3">
      <c r="A151">
        <v>319</v>
      </c>
      <c r="B151" t="s">
        <v>18</v>
      </c>
      <c r="C151" t="s">
        <v>19</v>
      </c>
      <c r="D151" s="1">
        <v>45717</v>
      </c>
      <c r="E151" s="1">
        <v>46075</v>
      </c>
      <c r="F151">
        <v>0</v>
      </c>
      <c r="G151" t="s">
        <v>242</v>
      </c>
      <c r="H151" t="s">
        <v>242</v>
      </c>
      <c r="I151" t="s">
        <v>242</v>
      </c>
      <c r="K151" s="1"/>
      <c r="L151" t="b">
        <v>0</v>
      </c>
    </row>
    <row r="152" spans="1:12" hidden="1" x14ac:dyDescent="0.3">
      <c r="A152">
        <v>320</v>
      </c>
      <c r="B152" t="s">
        <v>20</v>
      </c>
      <c r="C152" t="s">
        <v>19</v>
      </c>
      <c r="D152" s="1">
        <v>45717</v>
      </c>
      <c r="E152" s="1">
        <v>46075</v>
      </c>
      <c r="F152">
        <v>0</v>
      </c>
      <c r="G152" t="s">
        <v>242</v>
      </c>
      <c r="H152" t="s">
        <v>242</v>
      </c>
      <c r="I152" t="s">
        <v>242</v>
      </c>
      <c r="K152" s="1"/>
      <c r="L152" t="b">
        <v>0</v>
      </c>
    </row>
    <row r="153" spans="1:12" hidden="1" x14ac:dyDescent="0.3">
      <c r="A153">
        <v>321</v>
      </c>
      <c r="B153" t="s">
        <v>36</v>
      </c>
      <c r="C153" t="s">
        <v>19</v>
      </c>
      <c r="D153" s="1">
        <v>45717</v>
      </c>
      <c r="E153" s="1">
        <v>46216</v>
      </c>
      <c r="F153">
        <v>0</v>
      </c>
      <c r="G153" t="s">
        <v>242</v>
      </c>
      <c r="H153" t="s">
        <v>242</v>
      </c>
      <c r="I153" t="s">
        <v>242</v>
      </c>
      <c r="K153" s="1"/>
      <c r="L153" t="b">
        <v>0</v>
      </c>
    </row>
    <row r="154" spans="1:12" hidden="1" x14ac:dyDescent="0.3">
      <c r="A154">
        <v>322</v>
      </c>
      <c r="B154" t="s">
        <v>21</v>
      </c>
      <c r="C154" t="s">
        <v>19</v>
      </c>
      <c r="D154" s="1">
        <v>46082</v>
      </c>
      <c r="E154" s="1">
        <v>46075</v>
      </c>
      <c r="F154">
        <v>0</v>
      </c>
      <c r="G154" t="s">
        <v>242</v>
      </c>
      <c r="H154" t="s">
        <v>242</v>
      </c>
      <c r="I154" t="s">
        <v>242</v>
      </c>
      <c r="K154" s="1"/>
      <c r="L154" t="b">
        <v>0</v>
      </c>
    </row>
    <row r="155" spans="1:12" hidden="1" x14ac:dyDescent="0.3">
      <c r="A155">
        <v>324</v>
      </c>
      <c r="B155" t="s">
        <v>21</v>
      </c>
      <c r="C155" t="s">
        <v>19</v>
      </c>
      <c r="D155" s="1">
        <v>46082</v>
      </c>
      <c r="E155" s="1">
        <v>46075</v>
      </c>
      <c r="F155">
        <v>0</v>
      </c>
      <c r="G155" t="s">
        <v>242</v>
      </c>
      <c r="H155" t="s">
        <v>242</v>
      </c>
      <c r="I155" t="s">
        <v>242</v>
      </c>
      <c r="K155" s="1"/>
      <c r="L155" t="b">
        <v>0</v>
      </c>
    </row>
    <row r="156" spans="1:12" hidden="1" x14ac:dyDescent="0.3">
      <c r="A156">
        <v>325</v>
      </c>
      <c r="B156" t="s">
        <v>23</v>
      </c>
      <c r="C156" t="s">
        <v>19</v>
      </c>
      <c r="D156" s="1">
        <v>45717</v>
      </c>
      <c r="E156" s="1">
        <v>46075</v>
      </c>
      <c r="F156">
        <v>0</v>
      </c>
      <c r="G156" t="s">
        <v>242</v>
      </c>
      <c r="H156" t="s">
        <v>242</v>
      </c>
      <c r="I156" t="s">
        <v>242</v>
      </c>
      <c r="K156" s="1"/>
      <c r="L156" t="b">
        <v>0</v>
      </c>
    </row>
    <row r="157" spans="1:12" hidden="1" x14ac:dyDescent="0.3">
      <c r="A157">
        <v>326</v>
      </c>
      <c r="B157" t="s">
        <v>23</v>
      </c>
      <c r="C157" t="s">
        <v>19</v>
      </c>
      <c r="D157" s="1">
        <v>46082</v>
      </c>
      <c r="E157" s="1">
        <v>46075</v>
      </c>
      <c r="F157">
        <v>0</v>
      </c>
      <c r="G157" t="s">
        <v>242</v>
      </c>
      <c r="H157" t="s">
        <v>242</v>
      </c>
      <c r="I157" t="s">
        <v>242</v>
      </c>
      <c r="K157" s="1"/>
      <c r="L157" t="b">
        <v>0</v>
      </c>
    </row>
    <row r="158" spans="1:12" hidden="1" x14ac:dyDescent="0.3">
      <c r="A158">
        <v>327</v>
      </c>
      <c r="B158" t="s">
        <v>24</v>
      </c>
      <c r="C158" t="s">
        <v>19</v>
      </c>
      <c r="D158" s="1">
        <v>46082</v>
      </c>
      <c r="E158" s="1">
        <v>46075</v>
      </c>
      <c r="F158">
        <v>0</v>
      </c>
      <c r="G158" t="s">
        <v>242</v>
      </c>
      <c r="H158" t="s">
        <v>242</v>
      </c>
      <c r="I158" t="s">
        <v>242</v>
      </c>
      <c r="K158" s="1"/>
      <c r="L158" t="b">
        <v>0</v>
      </c>
    </row>
    <row r="159" spans="1:12" hidden="1" x14ac:dyDescent="0.3">
      <c r="A159">
        <v>328</v>
      </c>
      <c r="B159" t="s">
        <v>21</v>
      </c>
      <c r="C159" t="s">
        <v>19</v>
      </c>
      <c r="D159" s="1">
        <v>46082</v>
      </c>
      <c r="E159" s="1">
        <v>46075</v>
      </c>
      <c r="F159">
        <v>0</v>
      </c>
      <c r="G159" t="s">
        <v>242</v>
      </c>
      <c r="H159" t="s">
        <v>242</v>
      </c>
      <c r="I159" t="s">
        <v>242</v>
      </c>
      <c r="K159" s="1"/>
      <c r="L159" t="b">
        <v>0</v>
      </c>
    </row>
    <row r="160" spans="1:12" hidden="1" x14ac:dyDescent="0.3">
      <c r="A160">
        <v>329</v>
      </c>
      <c r="B160" t="s">
        <v>36</v>
      </c>
      <c r="C160" t="s">
        <v>19</v>
      </c>
      <c r="D160" s="1">
        <v>45717</v>
      </c>
      <c r="E160" s="1">
        <v>46216</v>
      </c>
      <c r="F160">
        <v>0</v>
      </c>
      <c r="G160" t="s">
        <v>242</v>
      </c>
      <c r="H160" t="s">
        <v>242</v>
      </c>
      <c r="I160" t="s">
        <v>242</v>
      </c>
      <c r="K160" s="1"/>
      <c r="L160" t="b">
        <v>0</v>
      </c>
    </row>
    <row r="161" spans="1:12" hidden="1" x14ac:dyDescent="0.3">
      <c r="A161">
        <v>330</v>
      </c>
      <c r="B161" t="s">
        <v>24</v>
      </c>
      <c r="C161" t="s">
        <v>19</v>
      </c>
      <c r="D161" s="1">
        <v>46082</v>
      </c>
      <c r="E161" s="1">
        <v>46075</v>
      </c>
      <c r="F161">
        <v>0</v>
      </c>
      <c r="G161" t="s">
        <v>242</v>
      </c>
      <c r="H161" t="s">
        <v>242</v>
      </c>
      <c r="I161" t="s">
        <v>242</v>
      </c>
      <c r="K161" s="1"/>
      <c r="L161" t="b">
        <v>0</v>
      </c>
    </row>
    <row r="162" spans="1:12" hidden="1" x14ac:dyDescent="0.3">
      <c r="A162">
        <v>331</v>
      </c>
      <c r="B162" t="s">
        <v>23</v>
      </c>
      <c r="C162" t="s">
        <v>19</v>
      </c>
      <c r="D162" s="1">
        <v>46082</v>
      </c>
      <c r="E162" s="1">
        <v>46075</v>
      </c>
      <c r="F162">
        <v>0</v>
      </c>
      <c r="G162" t="s">
        <v>242</v>
      </c>
      <c r="H162" t="s">
        <v>242</v>
      </c>
      <c r="I162" t="s">
        <v>242</v>
      </c>
      <c r="K162" s="1"/>
      <c r="L162" t="b">
        <v>0</v>
      </c>
    </row>
    <row r="163" spans="1:12" hidden="1" x14ac:dyDescent="0.3">
      <c r="A163">
        <v>332</v>
      </c>
      <c r="B163" t="s">
        <v>24</v>
      </c>
      <c r="C163" t="s">
        <v>19</v>
      </c>
      <c r="D163" s="1">
        <v>46082</v>
      </c>
      <c r="E163" s="1">
        <v>46075</v>
      </c>
      <c r="F163">
        <v>0</v>
      </c>
      <c r="G163" t="s">
        <v>242</v>
      </c>
      <c r="H163" t="s">
        <v>242</v>
      </c>
      <c r="I163" t="s">
        <v>242</v>
      </c>
      <c r="K163" s="1"/>
      <c r="L163" t="b">
        <v>0</v>
      </c>
    </row>
    <row r="164" spans="1:12" hidden="1" x14ac:dyDescent="0.3">
      <c r="A164">
        <v>333</v>
      </c>
      <c r="B164" t="s">
        <v>23</v>
      </c>
      <c r="C164" t="s">
        <v>19</v>
      </c>
      <c r="D164" s="1">
        <v>46082</v>
      </c>
      <c r="E164" s="1">
        <v>46075</v>
      </c>
      <c r="F164">
        <v>0</v>
      </c>
      <c r="G164" t="s">
        <v>242</v>
      </c>
      <c r="H164" t="s">
        <v>242</v>
      </c>
      <c r="I164" t="s">
        <v>242</v>
      </c>
      <c r="K164" s="1"/>
      <c r="L164" t="b">
        <v>0</v>
      </c>
    </row>
    <row r="165" spans="1:12" hidden="1" x14ac:dyDescent="0.3">
      <c r="A165">
        <v>334</v>
      </c>
      <c r="B165" t="s">
        <v>21</v>
      </c>
      <c r="C165" t="s">
        <v>19</v>
      </c>
      <c r="D165" s="1">
        <v>46082</v>
      </c>
      <c r="E165" s="1">
        <v>46075</v>
      </c>
      <c r="F165">
        <v>0</v>
      </c>
      <c r="G165" t="s">
        <v>242</v>
      </c>
      <c r="H165" t="s">
        <v>242</v>
      </c>
      <c r="I165" t="s">
        <v>242</v>
      </c>
      <c r="K165" s="1"/>
      <c r="L165" t="b">
        <v>0</v>
      </c>
    </row>
    <row r="166" spans="1:12" hidden="1" x14ac:dyDescent="0.3">
      <c r="A166">
        <v>335</v>
      </c>
      <c r="B166" t="s">
        <v>21</v>
      </c>
      <c r="C166" t="s">
        <v>19</v>
      </c>
      <c r="D166" s="1">
        <v>46082</v>
      </c>
      <c r="E166" s="1">
        <v>46075</v>
      </c>
      <c r="F166">
        <v>0</v>
      </c>
      <c r="G166" t="s">
        <v>242</v>
      </c>
      <c r="H166" t="s">
        <v>242</v>
      </c>
      <c r="I166" t="s">
        <v>242</v>
      </c>
      <c r="K166" s="1"/>
      <c r="L166" t="b">
        <v>0</v>
      </c>
    </row>
    <row r="167" spans="1:12" hidden="1" x14ac:dyDescent="0.3">
      <c r="A167">
        <v>336</v>
      </c>
      <c r="B167" t="s">
        <v>21</v>
      </c>
      <c r="C167" t="s">
        <v>19</v>
      </c>
      <c r="D167" s="1">
        <v>46082</v>
      </c>
      <c r="E167" s="1">
        <v>46075</v>
      </c>
      <c r="F167">
        <v>0</v>
      </c>
      <c r="G167" t="s">
        <v>242</v>
      </c>
      <c r="H167" t="s">
        <v>242</v>
      </c>
      <c r="I167" t="s">
        <v>242</v>
      </c>
      <c r="K167" s="1"/>
      <c r="L167" t="b">
        <v>0</v>
      </c>
    </row>
    <row r="168" spans="1:12" hidden="1" x14ac:dyDescent="0.3">
      <c r="A168">
        <v>337</v>
      </c>
      <c r="B168" t="s">
        <v>21</v>
      </c>
      <c r="C168" t="s">
        <v>22</v>
      </c>
      <c r="D168" s="1">
        <v>46082</v>
      </c>
      <c r="E168" s="1">
        <v>46075</v>
      </c>
      <c r="F168">
        <v>0</v>
      </c>
      <c r="G168" t="s">
        <v>375</v>
      </c>
      <c r="H168" t="s">
        <v>242</v>
      </c>
      <c r="I168" t="s">
        <v>242</v>
      </c>
      <c r="J168">
        <v>0</v>
      </c>
      <c r="K168" s="1">
        <v>46177</v>
      </c>
      <c r="L168" t="b">
        <v>0</v>
      </c>
    </row>
    <row r="169" spans="1:12" hidden="1" x14ac:dyDescent="0.3">
      <c r="A169">
        <v>338</v>
      </c>
      <c r="B169" t="s">
        <v>21</v>
      </c>
      <c r="C169" t="s">
        <v>19</v>
      </c>
      <c r="D169" s="1">
        <v>46082</v>
      </c>
      <c r="E169" s="1">
        <v>46075</v>
      </c>
      <c r="F169">
        <v>0</v>
      </c>
      <c r="G169" t="s">
        <v>242</v>
      </c>
      <c r="H169" t="s">
        <v>242</v>
      </c>
      <c r="I169" t="s">
        <v>242</v>
      </c>
      <c r="K169" s="1"/>
      <c r="L169" t="b">
        <v>0</v>
      </c>
    </row>
    <row r="170" spans="1:12" hidden="1" x14ac:dyDescent="0.3">
      <c r="A170">
        <v>339</v>
      </c>
      <c r="B170" t="s">
        <v>24</v>
      </c>
      <c r="C170" t="s">
        <v>19</v>
      </c>
      <c r="D170" s="1">
        <v>46082</v>
      </c>
      <c r="E170" s="1">
        <v>46075</v>
      </c>
      <c r="F170">
        <v>0</v>
      </c>
      <c r="G170" t="s">
        <v>242</v>
      </c>
      <c r="H170" t="s">
        <v>242</v>
      </c>
      <c r="I170" t="s">
        <v>242</v>
      </c>
      <c r="K170" s="1"/>
      <c r="L170" t="b">
        <v>0</v>
      </c>
    </row>
    <row r="171" spans="1:12" hidden="1" x14ac:dyDescent="0.3">
      <c r="A171">
        <v>340</v>
      </c>
      <c r="B171" t="s">
        <v>24</v>
      </c>
      <c r="C171" t="s">
        <v>22</v>
      </c>
      <c r="D171" s="1">
        <v>46116</v>
      </c>
      <c r="E171" s="1">
        <v>46177</v>
      </c>
      <c r="F171">
        <v>0</v>
      </c>
      <c r="G171" t="s">
        <v>242</v>
      </c>
      <c r="H171" t="s">
        <v>242</v>
      </c>
      <c r="I171" t="s">
        <v>242</v>
      </c>
      <c r="K171" s="1"/>
      <c r="L171" t="b">
        <v>0</v>
      </c>
    </row>
    <row r="172" spans="1:12" hidden="1" x14ac:dyDescent="0.3">
      <c r="A172">
        <v>341</v>
      </c>
      <c r="B172" t="s">
        <v>21</v>
      </c>
      <c r="C172" t="s">
        <v>19</v>
      </c>
      <c r="D172" s="1">
        <v>46082</v>
      </c>
      <c r="E172" s="1">
        <v>46075</v>
      </c>
      <c r="F172">
        <v>0</v>
      </c>
      <c r="G172" t="s">
        <v>242</v>
      </c>
      <c r="H172" t="s">
        <v>242</v>
      </c>
      <c r="I172" t="s">
        <v>242</v>
      </c>
      <c r="K172" s="1"/>
      <c r="L172" t="b">
        <v>0</v>
      </c>
    </row>
    <row r="173" spans="1:12" hidden="1" x14ac:dyDescent="0.3">
      <c r="A173">
        <v>342</v>
      </c>
      <c r="B173" t="s">
        <v>23</v>
      </c>
      <c r="C173" t="s">
        <v>19</v>
      </c>
      <c r="D173" s="1">
        <v>46082</v>
      </c>
      <c r="E173" s="1">
        <v>46075</v>
      </c>
      <c r="F173">
        <v>0</v>
      </c>
      <c r="G173" t="s">
        <v>242</v>
      </c>
      <c r="H173" t="s">
        <v>242</v>
      </c>
      <c r="I173" t="s">
        <v>242</v>
      </c>
      <c r="K173" s="1"/>
      <c r="L173" t="b">
        <v>0</v>
      </c>
    </row>
    <row r="174" spans="1:12" hidden="1" x14ac:dyDescent="0.3">
      <c r="A174">
        <v>343</v>
      </c>
      <c r="B174" t="s">
        <v>24</v>
      </c>
      <c r="C174" t="s">
        <v>19</v>
      </c>
      <c r="D174" s="1">
        <v>46082</v>
      </c>
      <c r="E174" s="1">
        <v>46075</v>
      </c>
      <c r="F174">
        <v>0</v>
      </c>
      <c r="G174" t="s">
        <v>242</v>
      </c>
      <c r="H174" t="s">
        <v>242</v>
      </c>
      <c r="I174" t="s">
        <v>242</v>
      </c>
      <c r="K174" s="1"/>
      <c r="L174" t="b">
        <v>0</v>
      </c>
    </row>
    <row r="175" spans="1:12" x14ac:dyDescent="0.3">
      <c r="A175">
        <v>344</v>
      </c>
      <c r="B175" t="s">
        <v>36</v>
      </c>
      <c r="C175" t="s">
        <v>12</v>
      </c>
      <c r="D175" s="1">
        <v>45931</v>
      </c>
      <c r="E175" s="1">
        <v>46075</v>
      </c>
      <c r="F175">
        <v>7200</v>
      </c>
      <c r="G175" t="s">
        <v>313</v>
      </c>
      <c r="H175" t="s">
        <v>242</v>
      </c>
      <c r="I175" t="s">
        <v>242</v>
      </c>
      <c r="J175">
        <v>13952</v>
      </c>
      <c r="K175" s="1">
        <v>46169</v>
      </c>
      <c r="L175" t="b">
        <v>1</v>
      </c>
    </row>
    <row r="176" spans="1:12" hidden="1" x14ac:dyDescent="0.3">
      <c r="A176">
        <v>345</v>
      </c>
      <c r="B176" t="s">
        <v>23</v>
      </c>
      <c r="C176" t="s">
        <v>19</v>
      </c>
      <c r="D176" s="1">
        <v>46082</v>
      </c>
      <c r="E176" s="1">
        <v>46075</v>
      </c>
      <c r="F176">
        <v>0</v>
      </c>
      <c r="G176" t="s">
        <v>242</v>
      </c>
      <c r="H176" t="s">
        <v>242</v>
      </c>
      <c r="I176" t="s">
        <v>242</v>
      </c>
      <c r="K176" s="1"/>
      <c r="L176" t="b">
        <v>0</v>
      </c>
    </row>
    <row r="177" spans="1:12" hidden="1" x14ac:dyDescent="0.3">
      <c r="A177">
        <v>346</v>
      </c>
      <c r="B177" t="s">
        <v>21</v>
      </c>
      <c r="C177" t="s">
        <v>19</v>
      </c>
      <c r="D177" s="1">
        <v>46082</v>
      </c>
      <c r="E177" s="1">
        <v>46075</v>
      </c>
      <c r="F177">
        <v>0</v>
      </c>
      <c r="G177" t="s">
        <v>242</v>
      </c>
      <c r="H177" t="s">
        <v>242</v>
      </c>
      <c r="I177" t="s">
        <v>242</v>
      </c>
      <c r="K177" s="1"/>
      <c r="L177" t="b">
        <v>0</v>
      </c>
    </row>
    <row r="178" spans="1:12" hidden="1" x14ac:dyDescent="0.3">
      <c r="A178">
        <v>347</v>
      </c>
      <c r="B178" t="s">
        <v>23</v>
      </c>
      <c r="C178" t="s">
        <v>19</v>
      </c>
      <c r="D178" s="1">
        <v>45717</v>
      </c>
      <c r="E178" s="1">
        <v>46075</v>
      </c>
      <c r="F178">
        <v>0</v>
      </c>
      <c r="G178" t="s">
        <v>242</v>
      </c>
      <c r="H178" t="s">
        <v>242</v>
      </c>
      <c r="I178" t="s">
        <v>242</v>
      </c>
      <c r="K178" s="1"/>
      <c r="L178" t="b">
        <v>0</v>
      </c>
    </row>
    <row r="179" spans="1:12" hidden="1" x14ac:dyDescent="0.3">
      <c r="A179">
        <v>348</v>
      </c>
      <c r="B179" t="s">
        <v>24</v>
      </c>
      <c r="C179" t="s">
        <v>19</v>
      </c>
      <c r="D179" s="1">
        <v>46136</v>
      </c>
      <c r="E179" s="1">
        <v>46075</v>
      </c>
      <c r="F179">
        <v>0</v>
      </c>
      <c r="G179" t="s">
        <v>242</v>
      </c>
      <c r="H179" t="s">
        <v>242</v>
      </c>
      <c r="I179" t="s">
        <v>242</v>
      </c>
      <c r="K179" s="1"/>
      <c r="L179" t="b">
        <v>0</v>
      </c>
    </row>
    <row r="180" spans="1:12" hidden="1" x14ac:dyDescent="0.3">
      <c r="A180">
        <v>349</v>
      </c>
      <c r="B180" t="s">
        <v>21</v>
      </c>
      <c r="C180" t="s">
        <v>19</v>
      </c>
      <c r="D180" s="1">
        <v>46082</v>
      </c>
      <c r="E180" s="1">
        <v>46075</v>
      </c>
      <c r="F180">
        <v>0</v>
      </c>
      <c r="G180" t="s">
        <v>242</v>
      </c>
      <c r="H180" t="s">
        <v>242</v>
      </c>
      <c r="I180" t="s">
        <v>242</v>
      </c>
      <c r="K180" s="1"/>
      <c r="L180" t="b">
        <v>0</v>
      </c>
    </row>
    <row r="181" spans="1:12" hidden="1" x14ac:dyDescent="0.3">
      <c r="A181">
        <v>356</v>
      </c>
      <c r="B181" t="s">
        <v>28</v>
      </c>
      <c r="C181" t="s">
        <v>19</v>
      </c>
      <c r="D181" s="1">
        <v>46208</v>
      </c>
      <c r="E181" s="1">
        <v>46208</v>
      </c>
      <c r="G181" t="s">
        <v>242</v>
      </c>
      <c r="H181" t="s">
        <v>242</v>
      </c>
      <c r="I181" t="s">
        <v>242</v>
      </c>
      <c r="K181" s="1"/>
      <c r="L181" t="b">
        <v>0</v>
      </c>
    </row>
    <row r="182" spans="1:12" hidden="1" x14ac:dyDescent="0.3">
      <c r="A182">
        <v>357</v>
      </c>
      <c r="B182" t="s">
        <v>27</v>
      </c>
      <c r="C182" t="s">
        <v>19</v>
      </c>
      <c r="D182" s="1">
        <v>45717</v>
      </c>
      <c r="E182" s="1">
        <v>46216</v>
      </c>
      <c r="F182">
        <v>0</v>
      </c>
      <c r="G182" t="s">
        <v>242</v>
      </c>
      <c r="H182" t="s">
        <v>242</v>
      </c>
      <c r="I182" t="s">
        <v>242</v>
      </c>
      <c r="K182" s="1"/>
      <c r="L182" t="b">
        <v>0</v>
      </c>
    </row>
    <row r="183" spans="1:12" hidden="1" x14ac:dyDescent="0.3">
      <c r="A183">
        <v>359</v>
      </c>
      <c r="B183" t="s">
        <v>28</v>
      </c>
      <c r="C183" t="s">
        <v>19</v>
      </c>
      <c r="D183" s="1">
        <v>45717</v>
      </c>
      <c r="E183" s="1">
        <v>46216</v>
      </c>
      <c r="F183">
        <v>0</v>
      </c>
      <c r="G183" t="s">
        <v>242</v>
      </c>
      <c r="H183" t="s">
        <v>242</v>
      </c>
      <c r="I183" t="s">
        <v>242</v>
      </c>
      <c r="K183" s="1"/>
      <c r="L183" t="b">
        <v>0</v>
      </c>
    </row>
    <row r="184" spans="1:12" hidden="1" x14ac:dyDescent="0.3">
      <c r="A184">
        <v>360</v>
      </c>
      <c r="B184" t="s">
        <v>24</v>
      </c>
      <c r="C184" t="s">
        <v>19</v>
      </c>
      <c r="D184" s="1">
        <v>46154</v>
      </c>
      <c r="E184" s="1">
        <v>46075</v>
      </c>
      <c r="F184">
        <v>0</v>
      </c>
      <c r="G184" t="s">
        <v>242</v>
      </c>
      <c r="H184" t="s">
        <v>242</v>
      </c>
      <c r="I184" t="s">
        <v>242</v>
      </c>
      <c r="K184" s="1"/>
      <c r="L184" t="b">
        <v>0</v>
      </c>
    </row>
    <row r="185" spans="1:12" x14ac:dyDescent="0.3">
      <c r="A185">
        <v>361</v>
      </c>
      <c r="B185" t="s">
        <v>36</v>
      </c>
      <c r="C185" t="s">
        <v>12</v>
      </c>
      <c r="D185" s="1">
        <v>45931</v>
      </c>
      <c r="E185" s="1">
        <v>46075</v>
      </c>
      <c r="F185">
        <v>7200</v>
      </c>
      <c r="G185" t="s">
        <v>314</v>
      </c>
      <c r="H185" t="s">
        <v>242</v>
      </c>
      <c r="I185" t="s">
        <v>242</v>
      </c>
      <c r="J185">
        <v>15680</v>
      </c>
      <c r="K185" s="1">
        <v>46169</v>
      </c>
      <c r="L185" t="b">
        <v>1</v>
      </c>
    </row>
    <row r="186" spans="1:12" x14ac:dyDescent="0.3">
      <c r="A186">
        <v>363</v>
      </c>
      <c r="B186" t="s">
        <v>36</v>
      </c>
      <c r="C186" t="s">
        <v>12</v>
      </c>
      <c r="D186" s="1">
        <v>45931</v>
      </c>
      <c r="E186" s="1">
        <v>46075</v>
      </c>
      <c r="F186">
        <v>7200</v>
      </c>
      <c r="G186" t="s">
        <v>302</v>
      </c>
      <c r="H186" t="s">
        <v>242</v>
      </c>
      <c r="I186" t="s">
        <v>242</v>
      </c>
      <c r="J186">
        <v>15040</v>
      </c>
      <c r="K186" s="1">
        <v>46169</v>
      </c>
      <c r="L186" t="b">
        <v>1</v>
      </c>
    </row>
    <row r="187" spans="1:12" x14ac:dyDescent="0.3">
      <c r="A187">
        <v>364</v>
      </c>
      <c r="B187" t="s">
        <v>36</v>
      </c>
      <c r="C187" t="s">
        <v>12</v>
      </c>
      <c r="D187" s="1">
        <v>45931</v>
      </c>
      <c r="E187" s="1">
        <v>46075</v>
      </c>
      <c r="F187">
        <v>7200</v>
      </c>
      <c r="G187" t="s">
        <v>315</v>
      </c>
      <c r="H187" t="s">
        <v>242</v>
      </c>
      <c r="I187" t="s">
        <v>242</v>
      </c>
      <c r="J187">
        <v>19520</v>
      </c>
      <c r="K187" s="1">
        <v>46169</v>
      </c>
      <c r="L187" t="b">
        <v>1</v>
      </c>
    </row>
    <row r="188" spans="1:12" hidden="1" x14ac:dyDescent="0.3">
      <c r="A188">
        <v>365</v>
      </c>
      <c r="B188" t="s">
        <v>28</v>
      </c>
      <c r="C188" t="s">
        <v>19</v>
      </c>
      <c r="D188" s="1">
        <v>45717</v>
      </c>
      <c r="E188" s="1">
        <v>46216</v>
      </c>
      <c r="F188">
        <v>0</v>
      </c>
      <c r="G188" t="s">
        <v>242</v>
      </c>
      <c r="H188" t="s">
        <v>242</v>
      </c>
      <c r="I188" t="s">
        <v>242</v>
      </c>
      <c r="K188" s="1"/>
      <c r="L188" t="b">
        <v>0</v>
      </c>
    </row>
    <row r="189" spans="1:12" hidden="1" x14ac:dyDescent="0.3">
      <c r="A189">
        <v>369</v>
      </c>
      <c r="B189" t="s">
        <v>20</v>
      </c>
      <c r="C189" t="s">
        <v>19</v>
      </c>
      <c r="D189" s="1">
        <v>45717</v>
      </c>
      <c r="E189" s="1">
        <v>46216</v>
      </c>
      <c r="F189">
        <v>0</v>
      </c>
      <c r="G189" t="s">
        <v>242</v>
      </c>
      <c r="H189" t="s">
        <v>242</v>
      </c>
      <c r="I189" t="s">
        <v>242</v>
      </c>
      <c r="K189" s="1"/>
      <c r="L189" t="b">
        <v>0</v>
      </c>
    </row>
    <row r="190" spans="1:12" hidden="1" x14ac:dyDescent="0.3">
      <c r="A190">
        <v>370</v>
      </c>
      <c r="B190" t="s">
        <v>20</v>
      </c>
      <c r="C190" t="s">
        <v>19</v>
      </c>
      <c r="D190" s="1">
        <v>46228</v>
      </c>
      <c r="E190" s="1">
        <v>46228</v>
      </c>
      <c r="G190" t="s">
        <v>242</v>
      </c>
      <c r="H190" t="s">
        <v>242</v>
      </c>
      <c r="I190" s="1" t="s">
        <v>242</v>
      </c>
      <c r="K190" s="1"/>
      <c r="L190" t="b">
        <v>0</v>
      </c>
    </row>
    <row r="191" spans="1:12" hidden="1" x14ac:dyDescent="0.3">
      <c r="A191">
        <v>375</v>
      </c>
      <c r="B191" t="s">
        <v>27</v>
      </c>
      <c r="C191" t="s">
        <v>19</v>
      </c>
      <c r="D191" s="1">
        <v>45717</v>
      </c>
      <c r="E191" s="1">
        <v>46216</v>
      </c>
      <c r="F191">
        <v>0</v>
      </c>
      <c r="G191" t="s">
        <v>242</v>
      </c>
      <c r="H191" t="s">
        <v>242</v>
      </c>
      <c r="I191" t="s">
        <v>242</v>
      </c>
      <c r="K191" s="1"/>
      <c r="L191" t="b">
        <v>0</v>
      </c>
    </row>
    <row r="192" spans="1:12" x14ac:dyDescent="0.3">
      <c r="A192">
        <v>376</v>
      </c>
      <c r="B192" t="s">
        <v>23</v>
      </c>
      <c r="C192" t="s">
        <v>12</v>
      </c>
      <c r="D192" s="1">
        <v>46082</v>
      </c>
      <c r="E192" s="1">
        <v>46075</v>
      </c>
      <c r="F192">
        <v>7200</v>
      </c>
      <c r="G192" t="s">
        <v>242</v>
      </c>
      <c r="H192" t="s">
        <v>242</v>
      </c>
      <c r="I192" t="s">
        <v>242</v>
      </c>
      <c r="J192">
        <v>13640</v>
      </c>
      <c r="K192" s="1">
        <v>46245</v>
      </c>
      <c r="L192" t="b">
        <v>1</v>
      </c>
    </row>
    <row r="193" spans="1:12" hidden="1" x14ac:dyDescent="0.3">
      <c r="A193">
        <v>377</v>
      </c>
      <c r="B193" t="s">
        <v>18</v>
      </c>
      <c r="C193" t="s">
        <v>19</v>
      </c>
      <c r="D193" s="1">
        <v>45717</v>
      </c>
      <c r="E193" s="1">
        <v>46216</v>
      </c>
      <c r="F193">
        <v>0</v>
      </c>
      <c r="G193" t="s">
        <v>242</v>
      </c>
      <c r="H193" t="s">
        <v>242</v>
      </c>
      <c r="I193" t="s">
        <v>242</v>
      </c>
      <c r="K193" s="1"/>
      <c r="L193" t="b">
        <v>0</v>
      </c>
    </row>
    <row r="194" spans="1:12" hidden="1" x14ac:dyDescent="0.3">
      <c r="A194">
        <v>378</v>
      </c>
      <c r="B194" t="s">
        <v>27</v>
      </c>
      <c r="C194" t="s">
        <v>19</v>
      </c>
      <c r="D194" s="1">
        <v>45717</v>
      </c>
      <c r="E194" s="1">
        <v>46216</v>
      </c>
      <c r="F194">
        <v>0</v>
      </c>
      <c r="G194" t="s">
        <v>242</v>
      </c>
      <c r="H194" t="s">
        <v>242</v>
      </c>
      <c r="I194" t="s">
        <v>242</v>
      </c>
      <c r="K194" s="1"/>
      <c r="L194" t="b">
        <v>0</v>
      </c>
    </row>
    <row r="195" spans="1:12" hidden="1" x14ac:dyDescent="0.3">
      <c r="A195">
        <v>381</v>
      </c>
      <c r="B195" t="s">
        <v>36</v>
      </c>
      <c r="C195" t="s">
        <v>19</v>
      </c>
      <c r="D195" s="1">
        <v>45717</v>
      </c>
      <c r="E195" s="1">
        <v>46216</v>
      </c>
      <c r="F195">
        <v>0</v>
      </c>
      <c r="G195" t="s">
        <v>242</v>
      </c>
      <c r="H195" t="s">
        <v>242</v>
      </c>
      <c r="I195" t="s">
        <v>242</v>
      </c>
      <c r="K195" s="1"/>
      <c r="L195" t="b">
        <v>0</v>
      </c>
    </row>
    <row r="196" spans="1:12" hidden="1" x14ac:dyDescent="0.3">
      <c r="A196">
        <v>383</v>
      </c>
      <c r="B196" t="s">
        <v>21</v>
      </c>
      <c r="C196" t="s">
        <v>19</v>
      </c>
      <c r="D196" s="1">
        <v>46082</v>
      </c>
      <c r="E196" s="1">
        <v>46075</v>
      </c>
      <c r="F196">
        <v>0</v>
      </c>
      <c r="G196" t="s">
        <v>242</v>
      </c>
      <c r="H196" t="s">
        <v>242</v>
      </c>
      <c r="I196" t="s">
        <v>242</v>
      </c>
      <c r="K196" s="1"/>
      <c r="L196" t="b">
        <v>0</v>
      </c>
    </row>
    <row r="197" spans="1:12" hidden="1" x14ac:dyDescent="0.3">
      <c r="A197">
        <v>385</v>
      </c>
      <c r="B197" t="s">
        <v>28</v>
      </c>
      <c r="C197" t="s">
        <v>19</v>
      </c>
      <c r="D197" s="1">
        <v>45717</v>
      </c>
      <c r="E197" s="1">
        <v>46216</v>
      </c>
      <c r="F197">
        <v>0</v>
      </c>
      <c r="G197" t="s">
        <v>242</v>
      </c>
      <c r="H197" t="s">
        <v>242</v>
      </c>
      <c r="I197" t="s">
        <v>242</v>
      </c>
      <c r="K197" s="1"/>
      <c r="L197" t="b">
        <v>0</v>
      </c>
    </row>
    <row r="198" spans="1:12" hidden="1" x14ac:dyDescent="0.3">
      <c r="A198">
        <v>386</v>
      </c>
      <c r="B198" t="s">
        <v>28</v>
      </c>
      <c r="C198" t="s">
        <v>19</v>
      </c>
      <c r="D198" s="1">
        <v>45717</v>
      </c>
      <c r="E198" s="1">
        <v>46216</v>
      </c>
      <c r="F198">
        <v>0</v>
      </c>
      <c r="G198" t="s">
        <v>242</v>
      </c>
      <c r="H198" t="s">
        <v>242</v>
      </c>
      <c r="I198" t="s">
        <v>242</v>
      </c>
      <c r="K198" s="1"/>
      <c r="L198" t="b">
        <v>0</v>
      </c>
    </row>
    <row r="199" spans="1:12" hidden="1" x14ac:dyDescent="0.3">
      <c r="A199">
        <v>395</v>
      </c>
      <c r="B199" t="s">
        <v>28</v>
      </c>
      <c r="C199" t="s">
        <v>19</v>
      </c>
      <c r="D199" s="1">
        <v>45717</v>
      </c>
      <c r="E199" s="1">
        <v>46216</v>
      </c>
      <c r="F199">
        <v>0</v>
      </c>
      <c r="G199" t="s">
        <v>242</v>
      </c>
      <c r="H199" t="s">
        <v>242</v>
      </c>
      <c r="I199" t="s">
        <v>242</v>
      </c>
      <c r="K199" s="1"/>
      <c r="L199" t="b">
        <v>0</v>
      </c>
    </row>
    <row r="200" spans="1:12" hidden="1" x14ac:dyDescent="0.3">
      <c r="A200">
        <v>399</v>
      </c>
      <c r="B200" t="s">
        <v>28</v>
      </c>
      <c r="C200" t="s">
        <v>19</v>
      </c>
      <c r="D200" s="1">
        <v>45717</v>
      </c>
      <c r="E200" s="1">
        <v>46216</v>
      </c>
      <c r="F200">
        <v>0</v>
      </c>
      <c r="G200" t="s">
        <v>242</v>
      </c>
      <c r="H200" t="s">
        <v>242</v>
      </c>
      <c r="I200" t="s">
        <v>242</v>
      </c>
      <c r="K200" s="1"/>
      <c r="L200" t="b">
        <v>0</v>
      </c>
    </row>
    <row r="201" spans="1:12" x14ac:dyDescent="0.3">
      <c r="A201">
        <f>SUBTOTAL(103,herd_rows[tag_no])</f>
        <v>38</v>
      </c>
      <c r="B201" s="7"/>
      <c r="C201" s="7"/>
      <c r="D201" s="1"/>
      <c r="E201" s="1"/>
      <c r="G201" s="7"/>
      <c r="H201" s="7"/>
      <c r="I201" s="7"/>
      <c r="K201" s="1"/>
      <c r="L201">
        <f>SUBTOTAL(103,herd_rows[ledger_synced])</f>
        <v>38</v>
      </c>
    </row>
  </sheetData>
  <pageMargins left="0.70866141732283472" right="0.70866141732283472" top="0.74803149606299213" bottom="0.74803149606299213" header="0.31496062992125984" footer="0.31496062992125984"/>
  <pageSetup paperSize="9" scale="69" fitToHeight="0" orientation="landscape" verticalDpi="0" r:id="rId1"/>
  <headerFooter>
    <oddHeader>&amp;A</oddHeader>
    <oddFooter>&amp;Z&amp;F</oddFooter>
  </headerFooter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393A1-6C53-4235-B476-EDEC5C394337}">
  <dimension ref="A1:F8"/>
  <sheetViews>
    <sheetView workbookViewId="0">
      <selection activeCell="F8" sqref="F8"/>
    </sheetView>
  </sheetViews>
  <sheetFormatPr defaultRowHeight="14.4" x14ac:dyDescent="0.3"/>
  <cols>
    <col min="1" max="1" width="14.44140625" bestFit="1" customWidth="1"/>
    <col min="2" max="2" width="13.33203125" bestFit="1" customWidth="1"/>
    <col min="3" max="3" width="17.44140625" bestFit="1" customWidth="1"/>
    <col min="4" max="4" width="13.44140625" bestFit="1" customWidth="1"/>
    <col min="5" max="5" width="10.44140625" bestFit="1" customWidth="1"/>
    <col min="6" max="6" width="13.109375" bestFit="1" customWidth="1"/>
  </cols>
  <sheetData>
    <row r="1" spans="1:6" x14ac:dyDescent="0.3">
      <c r="A1" t="s">
        <v>234</v>
      </c>
      <c r="B1" t="s">
        <v>275</v>
      </c>
      <c r="C1" t="s">
        <v>276</v>
      </c>
      <c r="D1" t="s">
        <v>277</v>
      </c>
      <c r="E1" t="s">
        <v>278</v>
      </c>
      <c r="F1" t="s">
        <v>364</v>
      </c>
    </row>
    <row r="2" spans="1:6" x14ac:dyDescent="0.3">
      <c r="A2" t="s">
        <v>240</v>
      </c>
      <c r="B2">
        <v>29964</v>
      </c>
      <c r="C2">
        <v>100</v>
      </c>
      <c r="D2">
        <v>9.8000000000000007</v>
      </c>
      <c r="E2">
        <v>1</v>
      </c>
      <c r="F2" s="3">
        <f>inventory_rows__1[[#This Row],[cost_per_kg]]*inventory_rows__1[[#This Row],[quantity_kg]]</f>
        <v>293647.2</v>
      </c>
    </row>
    <row r="3" spans="1:6" x14ac:dyDescent="0.3">
      <c r="A3" t="s">
        <v>252</v>
      </c>
      <c r="B3">
        <v>16605</v>
      </c>
      <c r="C3">
        <v>100</v>
      </c>
      <c r="D3">
        <v>15</v>
      </c>
      <c r="E3">
        <v>1</v>
      </c>
      <c r="F3" s="3">
        <f>inventory_rows__1[[#This Row],[cost_per_kg]]*inventory_rows__1[[#This Row],[quantity_kg]]</f>
        <v>249075</v>
      </c>
    </row>
    <row r="4" spans="1:6" x14ac:dyDescent="0.3">
      <c r="A4" t="s">
        <v>237</v>
      </c>
      <c r="B4">
        <v>13505</v>
      </c>
      <c r="C4">
        <v>100</v>
      </c>
      <c r="D4">
        <v>8.5</v>
      </c>
      <c r="E4">
        <v>1</v>
      </c>
      <c r="F4" s="3">
        <f>inventory_rows__1[[#This Row],[cost_per_kg]]*inventory_rows__1[[#This Row],[quantity_kg]]</f>
        <v>114792.5</v>
      </c>
    </row>
    <row r="5" spans="1:6" x14ac:dyDescent="0.3">
      <c r="A5" t="s">
        <v>253</v>
      </c>
      <c r="B5">
        <v>10128</v>
      </c>
      <c r="C5">
        <v>100</v>
      </c>
      <c r="D5">
        <v>14.5</v>
      </c>
      <c r="E5">
        <v>1</v>
      </c>
      <c r="F5" s="3">
        <f>inventory_rows__1[[#This Row],[cost_per_kg]]*inventory_rows__1[[#This Row],[quantity_kg]]</f>
        <v>146856</v>
      </c>
    </row>
    <row r="6" spans="1:6" x14ac:dyDescent="0.3">
      <c r="A6" t="s">
        <v>254</v>
      </c>
      <c r="B6">
        <v>12000</v>
      </c>
      <c r="C6">
        <v>100</v>
      </c>
      <c r="D6">
        <v>32</v>
      </c>
      <c r="E6">
        <v>1</v>
      </c>
      <c r="F6" s="3">
        <f>inventory_rows__1[[#This Row],[cost_per_kg]]*inventory_rows__1[[#This Row],[quantity_kg]]</f>
        <v>384000</v>
      </c>
    </row>
    <row r="7" spans="1:6" x14ac:dyDescent="0.3">
      <c r="A7" t="s">
        <v>249</v>
      </c>
      <c r="B7">
        <v>7410</v>
      </c>
      <c r="C7">
        <v>100</v>
      </c>
      <c r="D7">
        <v>16</v>
      </c>
      <c r="E7">
        <v>1</v>
      </c>
      <c r="F7" s="3">
        <f>inventory_rows__1[[#This Row],[cost_per_kg]]*inventory_rows__1[[#This Row],[quantity_kg]]</f>
        <v>118560</v>
      </c>
    </row>
    <row r="8" spans="1:6" x14ac:dyDescent="0.3">
      <c r="A8" s="7"/>
      <c r="B8">
        <f>SUBTOTAL(109,inventory_rows__1[quantity_kg])</f>
        <v>89612</v>
      </c>
      <c r="F8" s="4">
        <f>SUBTOTAL(109,inventory_rows__1[Total Cost])</f>
        <v>1306930.7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BADB1-9FE6-4C9F-8DF9-FA691D8A9CF8}">
  <dimension ref="A3:C47"/>
  <sheetViews>
    <sheetView workbookViewId="0">
      <selection activeCell="C9" sqref="C9"/>
    </sheetView>
  </sheetViews>
  <sheetFormatPr defaultRowHeight="14.4" x14ac:dyDescent="0.3"/>
  <cols>
    <col min="1" max="1" width="22" bestFit="1" customWidth="1"/>
    <col min="2" max="2" width="15.109375" bestFit="1" customWidth="1"/>
    <col min="3" max="3" width="10.44140625" bestFit="1" customWidth="1"/>
  </cols>
  <sheetData>
    <row r="3" spans="1:3" x14ac:dyDescent="0.3">
      <c r="A3" s="8" t="s">
        <v>365</v>
      </c>
    </row>
    <row r="4" spans="1:3" x14ac:dyDescent="0.3">
      <c r="A4" s="8" t="s">
        <v>234</v>
      </c>
      <c r="B4" s="8" t="s">
        <v>236</v>
      </c>
      <c r="C4" t="s">
        <v>367</v>
      </c>
    </row>
    <row r="5" spans="1:3" x14ac:dyDescent="0.3">
      <c r="A5" t="s">
        <v>240</v>
      </c>
      <c r="B5" t="s">
        <v>241</v>
      </c>
      <c r="C5" s="4">
        <v>2150</v>
      </c>
    </row>
    <row r="6" spans="1:3" x14ac:dyDescent="0.3">
      <c r="B6" t="s">
        <v>243</v>
      </c>
      <c r="C6" s="4">
        <v>1700</v>
      </c>
    </row>
    <row r="7" spans="1:3" x14ac:dyDescent="0.3">
      <c r="B7" t="s">
        <v>245</v>
      </c>
      <c r="C7" s="4">
        <v>3600</v>
      </c>
    </row>
    <row r="8" spans="1:3" x14ac:dyDescent="0.3">
      <c r="B8" t="s">
        <v>246</v>
      </c>
      <c r="C8" s="4">
        <v>1775</v>
      </c>
    </row>
    <row r="9" spans="1:3" x14ac:dyDescent="0.3">
      <c r="B9" t="s">
        <v>248</v>
      </c>
      <c r="C9" s="4">
        <v>2176</v>
      </c>
    </row>
    <row r="10" spans="1:3" x14ac:dyDescent="0.3">
      <c r="B10" t="s">
        <v>257</v>
      </c>
      <c r="C10" s="4">
        <v>2160</v>
      </c>
    </row>
    <row r="11" spans="1:3" x14ac:dyDescent="0.3">
      <c r="B11" t="s">
        <v>258</v>
      </c>
      <c r="C11" s="4">
        <v>3600</v>
      </c>
    </row>
    <row r="12" spans="1:3" x14ac:dyDescent="0.3">
      <c r="B12" t="s">
        <v>259</v>
      </c>
      <c r="C12" s="4">
        <v>2248</v>
      </c>
    </row>
    <row r="13" spans="1:3" x14ac:dyDescent="0.3">
      <c r="B13" t="s">
        <v>262</v>
      </c>
      <c r="C13" s="4">
        <v>2134</v>
      </c>
    </row>
    <row r="14" spans="1:3" x14ac:dyDescent="0.3">
      <c r="B14" t="s">
        <v>263</v>
      </c>
      <c r="C14" s="4">
        <v>2580</v>
      </c>
    </row>
    <row r="15" spans="1:3" x14ac:dyDescent="0.3">
      <c r="B15" t="s">
        <v>265</v>
      </c>
      <c r="C15" s="4">
        <v>2137</v>
      </c>
    </row>
    <row r="16" spans="1:3" x14ac:dyDescent="0.3">
      <c r="B16" t="s">
        <v>266</v>
      </c>
      <c r="C16" s="4">
        <v>2240</v>
      </c>
    </row>
    <row r="17" spans="1:3" x14ac:dyDescent="0.3">
      <c r="B17" t="s">
        <v>274</v>
      </c>
      <c r="C17" s="4">
        <v>1960</v>
      </c>
    </row>
    <row r="18" spans="1:3" x14ac:dyDescent="0.3">
      <c r="B18" s="1">
        <v>46244</v>
      </c>
      <c r="C18" s="4">
        <v>2065</v>
      </c>
    </row>
    <row r="19" spans="1:3" x14ac:dyDescent="0.3">
      <c r="A19" t="s">
        <v>368</v>
      </c>
      <c r="C19" s="4">
        <v>32525</v>
      </c>
    </row>
    <row r="20" spans="1:3" x14ac:dyDescent="0.3">
      <c r="A20" t="s">
        <v>252</v>
      </c>
      <c r="B20" t="s">
        <v>251</v>
      </c>
      <c r="C20" s="4">
        <v>1520</v>
      </c>
    </row>
    <row r="21" spans="1:3" x14ac:dyDescent="0.3">
      <c r="B21" t="s">
        <v>261</v>
      </c>
      <c r="C21" s="4">
        <v>1000</v>
      </c>
    </row>
    <row r="22" spans="1:3" x14ac:dyDescent="0.3">
      <c r="B22" t="s">
        <v>267</v>
      </c>
      <c r="C22" s="4">
        <v>1000</v>
      </c>
    </row>
    <row r="23" spans="1:3" x14ac:dyDescent="0.3">
      <c r="B23" t="s">
        <v>270</v>
      </c>
      <c r="C23" s="4">
        <v>538</v>
      </c>
    </row>
    <row r="24" spans="1:3" x14ac:dyDescent="0.3">
      <c r="A24" t="s">
        <v>369</v>
      </c>
      <c r="C24" s="4">
        <v>4058</v>
      </c>
    </row>
    <row r="25" spans="1:3" x14ac:dyDescent="0.3">
      <c r="A25" t="s">
        <v>237</v>
      </c>
      <c r="B25" t="s">
        <v>238</v>
      </c>
      <c r="C25" s="4">
        <v>2470</v>
      </c>
    </row>
    <row r="26" spans="1:3" x14ac:dyDescent="0.3">
      <c r="B26" t="s">
        <v>243</v>
      </c>
      <c r="C26" s="4">
        <v>2750</v>
      </c>
    </row>
    <row r="27" spans="1:3" x14ac:dyDescent="0.3">
      <c r="B27" t="s">
        <v>244</v>
      </c>
      <c r="C27" s="4">
        <v>2635</v>
      </c>
    </row>
    <row r="28" spans="1:3" x14ac:dyDescent="0.3">
      <c r="B28" t="s">
        <v>245</v>
      </c>
      <c r="C28" s="4">
        <v>2340</v>
      </c>
    </row>
    <row r="29" spans="1:3" x14ac:dyDescent="0.3">
      <c r="B29" t="s">
        <v>247</v>
      </c>
      <c r="C29" s="4">
        <v>2520</v>
      </c>
    </row>
    <row r="30" spans="1:3" x14ac:dyDescent="0.3">
      <c r="B30" t="s">
        <v>250</v>
      </c>
      <c r="C30" s="4">
        <v>4678</v>
      </c>
    </row>
    <row r="31" spans="1:3" x14ac:dyDescent="0.3">
      <c r="B31" t="s">
        <v>251</v>
      </c>
      <c r="C31" s="4">
        <v>2750</v>
      </c>
    </row>
    <row r="32" spans="1:3" x14ac:dyDescent="0.3">
      <c r="B32" t="s">
        <v>255</v>
      </c>
      <c r="C32" s="4">
        <v>1945</v>
      </c>
    </row>
    <row r="33" spans="1:3" x14ac:dyDescent="0.3">
      <c r="B33" t="s">
        <v>256</v>
      </c>
      <c r="C33" s="4">
        <v>2750</v>
      </c>
    </row>
    <row r="34" spans="1:3" x14ac:dyDescent="0.3">
      <c r="B34" t="s">
        <v>260</v>
      </c>
      <c r="C34" s="4">
        <v>2765</v>
      </c>
    </row>
    <row r="35" spans="1:3" x14ac:dyDescent="0.3">
      <c r="B35" t="s">
        <v>264</v>
      </c>
      <c r="C35" s="4">
        <v>2390</v>
      </c>
    </row>
    <row r="36" spans="1:3" x14ac:dyDescent="0.3">
      <c r="A36" t="s">
        <v>370</v>
      </c>
      <c r="C36" s="4">
        <v>29993</v>
      </c>
    </row>
    <row r="37" spans="1:3" x14ac:dyDescent="0.3">
      <c r="A37" t="s">
        <v>272</v>
      </c>
      <c r="B37" t="s">
        <v>273</v>
      </c>
      <c r="C37" s="4">
        <v>2555</v>
      </c>
    </row>
    <row r="38" spans="1:3" x14ac:dyDescent="0.3">
      <c r="A38" t="s">
        <v>371</v>
      </c>
      <c r="C38" s="4">
        <v>2555</v>
      </c>
    </row>
    <row r="39" spans="1:3" x14ac:dyDescent="0.3">
      <c r="A39" t="s">
        <v>253</v>
      </c>
      <c r="B39" t="s">
        <v>251</v>
      </c>
      <c r="C39" s="4">
        <v>580</v>
      </c>
    </row>
    <row r="40" spans="1:3" x14ac:dyDescent="0.3">
      <c r="A40" t="s">
        <v>372</v>
      </c>
      <c r="C40" s="4">
        <v>580</v>
      </c>
    </row>
    <row r="41" spans="1:3" x14ac:dyDescent="0.3">
      <c r="A41" t="s">
        <v>254</v>
      </c>
      <c r="B41" t="s">
        <v>251</v>
      </c>
      <c r="C41" s="4">
        <v>109.29</v>
      </c>
    </row>
    <row r="42" spans="1:3" x14ac:dyDescent="0.3">
      <c r="A42" t="s">
        <v>373</v>
      </c>
      <c r="C42" s="4">
        <v>109.29</v>
      </c>
    </row>
    <row r="43" spans="1:3" x14ac:dyDescent="0.3">
      <c r="A43" t="s">
        <v>249</v>
      </c>
      <c r="B43" t="s">
        <v>248</v>
      </c>
      <c r="C43" s="4">
        <v>1000</v>
      </c>
    </row>
    <row r="44" spans="1:3" x14ac:dyDescent="0.3">
      <c r="B44" t="s">
        <v>259</v>
      </c>
      <c r="C44" s="4">
        <v>600</v>
      </c>
    </row>
    <row r="45" spans="1:3" x14ac:dyDescent="0.3">
      <c r="B45" t="s">
        <v>261</v>
      </c>
      <c r="C45" s="4">
        <v>581</v>
      </c>
    </row>
    <row r="46" spans="1:3" x14ac:dyDescent="0.3">
      <c r="A46" t="s">
        <v>374</v>
      </c>
      <c r="C46" s="4">
        <v>2181</v>
      </c>
    </row>
    <row r="47" spans="1:3" x14ac:dyDescent="0.3">
      <c r="A47" t="s">
        <v>366</v>
      </c>
      <c r="C47" s="4">
        <v>72001.289999999994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9C682-D82B-49FF-AA0E-069CE2D05639}">
  <dimension ref="A1:H39"/>
  <sheetViews>
    <sheetView tabSelected="1" topLeftCell="A28" workbookViewId="0">
      <selection activeCell="D38" sqref="D38"/>
    </sheetView>
  </sheetViews>
  <sheetFormatPr defaultRowHeight="14.4" x14ac:dyDescent="0.3"/>
  <cols>
    <col min="1" max="1" width="4.77734375" bestFit="1" customWidth="1"/>
    <col min="2" max="2" width="14.44140625" bestFit="1" customWidth="1"/>
    <col min="3" max="3" width="17.5546875" bestFit="1" customWidth="1"/>
    <col min="4" max="4" width="15.109375" bestFit="1" customWidth="1"/>
    <col min="5" max="5" width="18.6640625" bestFit="1" customWidth="1"/>
  </cols>
  <sheetData>
    <row r="1" spans="1:8" x14ac:dyDescent="0.3">
      <c r="A1" t="s">
        <v>0</v>
      </c>
      <c r="B1" t="s">
        <v>234</v>
      </c>
      <c r="C1" t="s">
        <v>235</v>
      </c>
      <c r="D1" t="s">
        <v>236</v>
      </c>
      <c r="E1" t="s">
        <v>5</v>
      </c>
    </row>
    <row r="2" spans="1:8" x14ac:dyDescent="0.3">
      <c r="A2">
        <v>2</v>
      </c>
      <c r="B2" t="s">
        <v>237</v>
      </c>
      <c r="C2" s="3">
        <v>2470</v>
      </c>
      <c r="D2" t="s">
        <v>238</v>
      </c>
      <c r="E2" t="s">
        <v>239</v>
      </c>
      <c r="H2">
        <f>(inventory_logs_rows__2[[#This Row],[received_date]]-D37)*-1</f>
        <v>217</v>
      </c>
    </row>
    <row r="3" spans="1:8" x14ac:dyDescent="0.3">
      <c r="A3">
        <v>3</v>
      </c>
      <c r="B3" t="s">
        <v>240</v>
      </c>
      <c r="C3" s="3">
        <v>2150</v>
      </c>
      <c r="D3" t="s">
        <v>241</v>
      </c>
      <c r="E3" t="s">
        <v>242</v>
      </c>
    </row>
    <row r="4" spans="1:8" x14ac:dyDescent="0.3">
      <c r="A4">
        <v>4</v>
      </c>
      <c r="B4" t="s">
        <v>237</v>
      </c>
      <c r="C4" s="3">
        <v>2750</v>
      </c>
      <c r="D4" t="s">
        <v>243</v>
      </c>
      <c r="E4" t="s">
        <v>242</v>
      </c>
    </row>
    <row r="5" spans="1:8" x14ac:dyDescent="0.3">
      <c r="A5">
        <v>5</v>
      </c>
      <c r="B5" t="s">
        <v>240</v>
      </c>
      <c r="C5" s="3">
        <v>1700</v>
      </c>
      <c r="D5" t="s">
        <v>243</v>
      </c>
      <c r="E5" t="s">
        <v>239</v>
      </c>
    </row>
    <row r="6" spans="1:8" x14ac:dyDescent="0.3">
      <c r="A6">
        <v>6</v>
      </c>
      <c r="B6" t="s">
        <v>237</v>
      </c>
      <c r="C6" s="3">
        <v>2635</v>
      </c>
      <c r="D6" t="s">
        <v>244</v>
      </c>
      <c r="E6" t="s">
        <v>242</v>
      </c>
    </row>
    <row r="7" spans="1:8" x14ac:dyDescent="0.3">
      <c r="A7">
        <v>7</v>
      </c>
      <c r="B7" t="s">
        <v>237</v>
      </c>
      <c r="C7" s="3">
        <v>2340</v>
      </c>
      <c r="D7" t="s">
        <v>245</v>
      </c>
      <c r="E7" t="s">
        <v>239</v>
      </c>
    </row>
    <row r="8" spans="1:8" x14ac:dyDescent="0.3">
      <c r="A8">
        <v>8</v>
      </c>
      <c r="B8" t="s">
        <v>240</v>
      </c>
      <c r="C8" s="3">
        <v>1595</v>
      </c>
      <c r="D8" t="s">
        <v>245</v>
      </c>
      <c r="E8" t="s">
        <v>242</v>
      </c>
    </row>
    <row r="9" spans="1:8" x14ac:dyDescent="0.3">
      <c r="A9">
        <v>9</v>
      </c>
      <c r="B9" t="s">
        <v>240</v>
      </c>
      <c r="C9" s="3">
        <v>2005</v>
      </c>
      <c r="D9" t="s">
        <v>245</v>
      </c>
      <c r="E9" t="s">
        <v>239</v>
      </c>
    </row>
    <row r="10" spans="1:8" x14ac:dyDescent="0.3">
      <c r="A10">
        <v>10</v>
      </c>
      <c r="B10" t="s">
        <v>240</v>
      </c>
      <c r="C10" s="3">
        <v>1775</v>
      </c>
      <c r="D10" t="s">
        <v>246</v>
      </c>
      <c r="E10" t="s">
        <v>242</v>
      </c>
    </row>
    <row r="11" spans="1:8" x14ac:dyDescent="0.3">
      <c r="A11">
        <v>11</v>
      </c>
      <c r="B11" t="s">
        <v>237</v>
      </c>
      <c r="C11" s="3">
        <v>2520</v>
      </c>
      <c r="D11" t="s">
        <v>247</v>
      </c>
      <c r="E11" t="s">
        <v>242</v>
      </c>
    </row>
    <row r="12" spans="1:8" x14ac:dyDescent="0.3">
      <c r="A12">
        <v>12</v>
      </c>
      <c r="B12" t="s">
        <v>240</v>
      </c>
      <c r="C12" s="3">
        <v>2176</v>
      </c>
      <c r="D12" t="s">
        <v>248</v>
      </c>
      <c r="E12" t="s">
        <v>242</v>
      </c>
    </row>
    <row r="13" spans="1:8" x14ac:dyDescent="0.3">
      <c r="A13">
        <v>13</v>
      </c>
      <c r="B13" t="s">
        <v>249</v>
      </c>
      <c r="C13" s="3">
        <v>1000</v>
      </c>
      <c r="D13" t="s">
        <v>248</v>
      </c>
      <c r="E13" t="s">
        <v>242</v>
      </c>
    </row>
    <row r="14" spans="1:8" x14ac:dyDescent="0.3">
      <c r="A14">
        <v>14</v>
      </c>
      <c r="B14" t="s">
        <v>237</v>
      </c>
      <c r="C14" s="3">
        <v>2325</v>
      </c>
      <c r="D14" t="s">
        <v>250</v>
      </c>
      <c r="E14" t="s">
        <v>242</v>
      </c>
    </row>
    <row r="15" spans="1:8" x14ac:dyDescent="0.3">
      <c r="A15">
        <v>15</v>
      </c>
      <c r="B15" t="s">
        <v>237</v>
      </c>
      <c r="C15" s="3">
        <v>2353</v>
      </c>
      <c r="D15" t="s">
        <v>250</v>
      </c>
      <c r="E15" t="s">
        <v>239</v>
      </c>
    </row>
    <row r="16" spans="1:8" x14ac:dyDescent="0.3">
      <c r="A16">
        <v>16</v>
      </c>
      <c r="B16" t="s">
        <v>237</v>
      </c>
      <c r="C16" s="3">
        <v>2750</v>
      </c>
      <c r="D16" t="s">
        <v>251</v>
      </c>
      <c r="E16" t="s">
        <v>242</v>
      </c>
    </row>
    <row r="17" spans="1:5" x14ac:dyDescent="0.3">
      <c r="A17">
        <v>17</v>
      </c>
      <c r="B17" t="s">
        <v>252</v>
      </c>
      <c r="C17" s="3">
        <v>1520</v>
      </c>
      <c r="D17" t="s">
        <v>251</v>
      </c>
      <c r="E17" t="s">
        <v>239</v>
      </c>
    </row>
    <row r="18" spans="1:5" x14ac:dyDescent="0.3">
      <c r="A18">
        <v>18</v>
      </c>
      <c r="B18" t="s">
        <v>253</v>
      </c>
      <c r="C18" s="3">
        <v>580</v>
      </c>
      <c r="D18" t="s">
        <v>251</v>
      </c>
      <c r="E18" t="s">
        <v>239</v>
      </c>
    </row>
    <row r="19" spans="1:5" x14ac:dyDescent="0.3">
      <c r="A19">
        <v>19</v>
      </c>
      <c r="B19" t="s">
        <v>254</v>
      </c>
      <c r="C19" s="3">
        <v>109.29</v>
      </c>
      <c r="D19" t="s">
        <v>251</v>
      </c>
      <c r="E19" t="s">
        <v>239</v>
      </c>
    </row>
    <row r="20" spans="1:5" x14ac:dyDescent="0.3">
      <c r="A20">
        <v>20</v>
      </c>
      <c r="B20" t="s">
        <v>237</v>
      </c>
      <c r="C20" s="3">
        <v>1945</v>
      </c>
      <c r="D20" t="s">
        <v>255</v>
      </c>
      <c r="E20" t="s">
        <v>239</v>
      </c>
    </row>
    <row r="21" spans="1:5" x14ac:dyDescent="0.3">
      <c r="A21">
        <v>21</v>
      </c>
      <c r="B21" t="s">
        <v>237</v>
      </c>
      <c r="C21" s="3">
        <v>2750</v>
      </c>
      <c r="D21" t="s">
        <v>256</v>
      </c>
      <c r="E21" t="s">
        <v>239</v>
      </c>
    </row>
    <row r="22" spans="1:5" x14ac:dyDescent="0.3">
      <c r="A22">
        <v>22</v>
      </c>
      <c r="B22" t="s">
        <v>240</v>
      </c>
      <c r="C22" s="3">
        <v>2160</v>
      </c>
      <c r="D22" t="s">
        <v>257</v>
      </c>
      <c r="E22" t="s">
        <v>239</v>
      </c>
    </row>
    <row r="23" spans="1:5" x14ac:dyDescent="0.3">
      <c r="A23">
        <v>24</v>
      </c>
      <c r="B23" t="s">
        <v>240</v>
      </c>
      <c r="C23" s="3">
        <v>3600</v>
      </c>
      <c r="D23" t="s">
        <v>258</v>
      </c>
      <c r="E23" t="s">
        <v>239</v>
      </c>
    </row>
    <row r="24" spans="1:5" x14ac:dyDescent="0.3">
      <c r="A24">
        <v>25</v>
      </c>
      <c r="B24" t="s">
        <v>240</v>
      </c>
      <c r="C24" s="3">
        <v>2248</v>
      </c>
      <c r="D24" t="s">
        <v>259</v>
      </c>
      <c r="E24" t="s">
        <v>242</v>
      </c>
    </row>
    <row r="25" spans="1:5" x14ac:dyDescent="0.3">
      <c r="A25">
        <v>26</v>
      </c>
      <c r="B25" t="s">
        <v>237</v>
      </c>
      <c r="C25" s="3">
        <v>2765</v>
      </c>
      <c r="D25" t="s">
        <v>260</v>
      </c>
      <c r="E25" t="s">
        <v>239</v>
      </c>
    </row>
    <row r="26" spans="1:5" x14ac:dyDescent="0.3">
      <c r="A26">
        <v>27</v>
      </c>
      <c r="B26" t="s">
        <v>252</v>
      </c>
      <c r="C26" s="3">
        <v>1000</v>
      </c>
      <c r="D26" t="s">
        <v>261</v>
      </c>
      <c r="E26" t="s">
        <v>242</v>
      </c>
    </row>
    <row r="27" spans="1:5" x14ac:dyDescent="0.3">
      <c r="A27">
        <v>28</v>
      </c>
      <c r="B27" t="s">
        <v>240</v>
      </c>
      <c r="C27" s="3">
        <v>2134</v>
      </c>
      <c r="D27" t="s">
        <v>262</v>
      </c>
      <c r="E27" t="s">
        <v>242</v>
      </c>
    </row>
    <row r="28" spans="1:5" x14ac:dyDescent="0.3">
      <c r="A28">
        <v>29</v>
      </c>
      <c r="B28" t="s">
        <v>240</v>
      </c>
      <c r="C28" s="3">
        <v>2580</v>
      </c>
      <c r="D28" t="s">
        <v>263</v>
      </c>
      <c r="E28" t="s">
        <v>242</v>
      </c>
    </row>
    <row r="29" spans="1:5" x14ac:dyDescent="0.3">
      <c r="A29">
        <v>30</v>
      </c>
      <c r="B29" t="s">
        <v>237</v>
      </c>
      <c r="C29" s="3">
        <v>2390</v>
      </c>
      <c r="D29" t="s">
        <v>264</v>
      </c>
      <c r="E29" t="s">
        <v>239</v>
      </c>
    </row>
    <row r="30" spans="1:5" x14ac:dyDescent="0.3">
      <c r="A30">
        <v>31</v>
      </c>
      <c r="B30" t="s">
        <v>240</v>
      </c>
      <c r="C30" s="3">
        <v>2137</v>
      </c>
      <c r="D30" t="s">
        <v>265</v>
      </c>
      <c r="E30" t="s">
        <v>242</v>
      </c>
    </row>
    <row r="31" spans="1:5" x14ac:dyDescent="0.3">
      <c r="A31">
        <v>32</v>
      </c>
      <c r="B31" t="s">
        <v>240</v>
      </c>
      <c r="C31" s="3">
        <v>2240</v>
      </c>
      <c r="D31" t="s">
        <v>266</v>
      </c>
      <c r="E31" t="s">
        <v>242</v>
      </c>
    </row>
    <row r="32" spans="1:5" x14ac:dyDescent="0.3">
      <c r="A32">
        <v>33</v>
      </c>
      <c r="B32" t="s">
        <v>252</v>
      </c>
      <c r="C32" s="3">
        <v>1000</v>
      </c>
      <c r="D32" t="s">
        <v>267</v>
      </c>
      <c r="E32" t="s">
        <v>239</v>
      </c>
    </row>
    <row r="33" spans="1:5" x14ac:dyDescent="0.3">
      <c r="A33">
        <v>34</v>
      </c>
      <c r="B33" t="s">
        <v>249</v>
      </c>
      <c r="C33" s="3">
        <v>600</v>
      </c>
      <c r="D33" t="s">
        <v>259</v>
      </c>
      <c r="E33" t="s">
        <v>268</v>
      </c>
    </row>
    <row r="34" spans="1:5" x14ac:dyDescent="0.3">
      <c r="A34">
        <v>35</v>
      </c>
      <c r="B34" t="s">
        <v>249</v>
      </c>
      <c r="C34" s="3">
        <v>581</v>
      </c>
      <c r="D34" t="s">
        <v>261</v>
      </c>
      <c r="E34" t="s">
        <v>269</v>
      </c>
    </row>
    <row r="35" spans="1:5" x14ac:dyDescent="0.3">
      <c r="A35">
        <v>36</v>
      </c>
      <c r="B35" t="s">
        <v>252</v>
      </c>
      <c r="C35" s="3">
        <v>538</v>
      </c>
      <c r="D35" t="s">
        <v>270</v>
      </c>
      <c r="E35" t="s">
        <v>271</v>
      </c>
    </row>
    <row r="36" spans="1:5" x14ac:dyDescent="0.3">
      <c r="A36">
        <v>37</v>
      </c>
      <c r="B36" t="s">
        <v>272</v>
      </c>
      <c r="C36" s="3">
        <v>2555</v>
      </c>
      <c r="D36" t="s">
        <v>273</v>
      </c>
      <c r="E36" t="s">
        <v>271</v>
      </c>
    </row>
    <row r="37" spans="1:5" x14ac:dyDescent="0.3">
      <c r="A37">
        <v>38</v>
      </c>
      <c r="B37" t="s">
        <v>240</v>
      </c>
      <c r="C37" s="3">
        <v>1960</v>
      </c>
      <c r="D37" t="s">
        <v>274</v>
      </c>
      <c r="E37" t="s">
        <v>271</v>
      </c>
    </row>
    <row r="38" spans="1:5" x14ac:dyDescent="0.3">
      <c r="A38">
        <v>39</v>
      </c>
      <c r="B38" t="s">
        <v>240</v>
      </c>
      <c r="C38" s="3">
        <v>2065</v>
      </c>
      <c r="D38" t="s">
        <v>274</v>
      </c>
      <c r="E38" t="s">
        <v>271</v>
      </c>
    </row>
    <row r="39" spans="1:5" x14ac:dyDescent="0.3">
      <c r="C39" s="10">
        <f>SUBTOTAL(109,inventory_logs_rows__2[quantity_change])</f>
        <v>72001.290000000008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71062-5292-41B4-A302-47469994C70F}">
  <sheetPr>
    <tabColor rgb="FFC00000"/>
  </sheetPr>
  <dimension ref="A1:H359"/>
  <sheetViews>
    <sheetView topLeftCell="A247" workbookViewId="0">
      <selection activeCell="C268" sqref="C268"/>
    </sheetView>
  </sheetViews>
  <sheetFormatPr defaultRowHeight="14.4" x14ac:dyDescent="0.3"/>
  <cols>
    <col min="1" max="1" width="17.5546875" bestFit="1" customWidth="1"/>
    <col min="2" max="2" width="31.77734375" bestFit="1" customWidth="1"/>
    <col min="3" max="3" width="46.77734375" bestFit="1" customWidth="1"/>
    <col min="4" max="4" width="14" bestFit="1" customWidth="1"/>
    <col min="5" max="6" width="13.109375" bestFit="1" customWidth="1"/>
    <col min="7" max="7" width="10.77734375" bestFit="1" customWidth="1"/>
  </cols>
  <sheetData>
    <row r="1" spans="1:7" x14ac:dyDescent="0.3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363</v>
      </c>
    </row>
    <row r="2" spans="1:7" x14ac:dyDescent="0.3">
      <c r="A2" s="1">
        <v>46023</v>
      </c>
      <c r="B2" t="s">
        <v>43</v>
      </c>
      <c r="C2" t="s">
        <v>44</v>
      </c>
      <c r="E2">
        <v>300000</v>
      </c>
      <c r="F2">
        <v>0</v>
      </c>
    </row>
    <row r="3" spans="1:7" hidden="1" x14ac:dyDescent="0.3">
      <c r="A3" s="1">
        <v>46023</v>
      </c>
      <c r="B3" t="s">
        <v>45</v>
      </c>
      <c r="C3" t="s">
        <v>44</v>
      </c>
      <c r="E3">
        <v>0</v>
      </c>
      <c r="F3">
        <v>300000</v>
      </c>
    </row>
    <row r="4" spans="1:7" hidden="1" x14ac:dyDescent="0.3">
      <c r="A4" s="1">
        <v>46027</v>
      </c>
      <c r="B4" t="s">
        <v>46</v>
      </c>
      <c r="C4" t="s">
        <v>47</v>
      </c>
      <c r="E4">
        <v>18525</v>
      </c>
      <c r="F4">
        <v>0</v>
      </c>
    </row>
    <row r="5" spans="1:7" x14ac:dyDescent="0.3">
      <c r="A5" s="1">
        <v>46027</v>
      </c>
      <c r="B5" t="s">
        <v>43</v>
      </c>
      <c r="C5" t="s">
        <v>47</v>
      </c>
      <c r="E5">
        <v>0</v>
      </c>
      <c r="F5">
        <v>18525</v>
      </c>
    </row>
    <row r="6" spans="1:7" hidden="1" x14ac:dyDescent="0.3">
      <c r="A6" s="1">
        <v>46030</v>
      </c>
      <c r="B6" t="s">
        <v>46</v>
      </c>
      <c r="C6" t="s">
        <v>48</v>
      </c>
      <c r="E6">
        <v>20425</v>
      </c>
      <c r="F6">
        <v>0</v>
      </c>
    </row>
    <row r="7" spans="1:7" x14ac:dyDescent="0.3">
      <c r="A7" s="1">
        <v>46030</v>
      </c>
      <c r="B7" t="s">
        <v>43</v>
      </c>
      <c r="C7" t="s">
        <v>48</v>
      </c>
      <c r="E7">
        <v>0</v>
      </c>
      <c r="F7">
        <v>20425</v>
      </c>
    </row>
    <row r="8" spans="1:7" x14ac:dyDescent="0.3">
      <c r="A8" s="1">
        <v>46033</v>
      </c>
      <c r="B8" t="s">
        <v>43</v>
      </c>
      <c r="C8" t="s">
        <v>47</v>
      </c>
      <c r="E8">
        <v>0</v>
      </c>
      <c r="F8">
        <v>22000</v>
      </c>
    </row>
    <row r="9" spans="1:7" hidden="1" x14ac:dyDescent="0.3">
      <c r="A9" s="1">
        <v>46033</v>
      </c>
      <c r="B9" t="s">
        <v>46</v>
      </c>
      <c r="C9" t="s">
        <v>47</v>
      </c>
      <c r="E9">
        <v>22000</v>
      </c>
      <c r="F9">
        <v>0</v>
      </c>
    </row>
    <row r="10" spans="1:7" x14ac:dyDescent="0.3">
      <c r="A10" s="1">
        <v>46038</v>
      </c>
      <c r="B10" t="s">
        <v>43</v>
      </c>
      <c r="C10" t="s">
        <v>48</v>
      </c>
      <c r="E10">
        <v>0</v>
      </c>
      <c r="F10">
        <v>17000</v>
      </c>
    </row>
    <row r="11" spans="1:7" hidden="1" x14ac:dyDescent="0.3">
      <c r="A11" s="1">
        <v>46038</v>
      </c>
      <c r="B11" t="s">
        <v>46</v>
      </c>
      <c r="C11" t="s">
        <v>48</v>
      </c>
      <c r="E11">
        <v>17000</v>
      </c>
      <c r="F11">
        <v>0</v>
      </c>
    </row>
    <row r="12" spans="1:7" hidden="1" x14ac:dyDescent="0.3">
      <c r="A12" s="1">
        <v>46050</v>
      </c>
      <c r="B12" t="s">
        <v>46</v>
      </c>
      <c r="C12" t="s">
        <v>47</v>
      </c>
      <c r="E12">
        <v>20289</v>
      </c>
      <c r="F12">
        <v>0</v>
      </c>
    </row>
    <row r="13" spans="1:7" x14ac:dyDescent="0.3">
      <c r="A13" s="1">
        <v>46050</v>
      </c>
      <c r="B13" t="s">
        <v>43</v>
      </c>
      <c r="C13" t="s">
        <v>47</v>
      </c>
      <c r="E13">
        <v>0</v>
      </c>
      <c r="F13">
        <v>20289</v>
      </c>
    </row>
    <row r="14" spans="1:7" hidden="1" x14ac:dyDescent="0.3">
      <c r="A14" s="1">
        <v>46072</v>
      </c>
      <c r="B14" t="s">
        <v>46</v>
      </c>
      <c r="C14" t="s">
        <v>48</v>
      </c>
      <c r="E14">
        <v>17943</v>
      </c>
      <c r="F14">
        <v>0</v>
      </c>
    </row>
    <row r="15" spans="1:7" x14ac:dyDescent="0.3">
      <c r="A15" s="1">
        <v>46072</v>
      </c>
      <c r="B15" t="s">
        <v>43</v>
      </c>
      <c r="C15" t="s">
        <v>48</v>
      </c>
      <c r="E15">
        <v>0</v>
      </c>
      <c r="F15">
        <v>22556</v>
      </c>
    </row>
    <row r="16" spans="1:7" hidden="1" x14ac:dyDescent="0.3">
      <c r="A16" s="1">
        <v>46072</v>
      </c>
      <c r="B16" t="s">
        <v>46</v>
      </c>
      <c r="C16" t="s">
        <v>48</v>
      </c>
      <c r="E16">
        <v>22556</v>
      </c>
      <c r="F16">
        <v>0</v>
      </c>
    </row>
    <row r="17" spans="1:6" hidden="1" x14ac:dyDescent="0.3">
      <c r="A17" s="1">
        <v>46072</v>
      </c>
      <c r="B17" t="s">
        <v>46</v>
      </c>
      <c r="C17" t="s">
        <v>47</v>
      </c>
      <c r="E17">
        <v>17550</v>
      </c>
      <c r="F17">
        <v>0</v>
      </c>
    </row>
    <row r="18" spans="1:6" x14ac:dyDescent="0.3">
      <c r="A18" s="1">
        <v>46072</v>
      </c>
      <c r="B18" t="s">
        <v>43</v>
      </c>
      <c r="C18" t="s">
        <v>47</v>
      </c>
      <c r="E18">
        <v>0</v>
      </c>
      <c r="F18">
        <v>17550</v>
      </c>
    </row>
    <row r="19" spans="1:6" x14ac:dyDescent="0.3">
      <c r="A19" s="1">
        <v>46072</v>
      </c>
      <c r="B19" t="s">
        <v>43</v>
      </c>
      <c r="C19" t="s">
        <v>48</v>
      </c>
      <c r="E19">
        <v>0</v>
      </c>
      <c r="F19">
        <v>17943</v>
      </c>
    </row>
    <row r="20" spans="1:6" x14ac:dyDescent="0.3">
      <c r="A20" s="1">
        <v>46092</v>
      </c>
      <c r="B20" t="s">
        <v>43</v>
      </c>
      <c r="C20" t="s">
        <v>48</v>
      </c>
      <c r="E20">
        <v>0</v>
      </c>
      <c r="F20">
        <v>20412</v>
      </c>
    </row>
    <row r="21" spans="1:6" hidden="1" x14ac:dyDescent="0.3">
      <c r="A21" s="1">
        <v>46092</v>
      </c>
      <c r="B21" t="s">
        <v>46</v>
      </c>
      <c r="C21" t="s">
        <v>48</v>
      </c>
      <c r="E21">
        <v>20412</v>
      </c>
      <c r="F21">
        <v>0</v>
      </c>
    </row>
    <row r="22" spans="1:6" hidden="1" x14ac:dyDescent="0.3">
      <c r="A22" s="1">
        <v>46094</v>
      </c>
      <c r="B22" t="s">
        <v>46</v>
      </c>
      <c r="C22" t="s">
        <v>47</v>
      </c>
      <c r="E22">
        <v>21420</v>
      </c>
      <c r="F22">
        <v>0</v>
      </c>
    </row>
    <row r="23" spans="1:6" x14ac:dyDescent="0.3">
      <c r="A23" s="1">
        <v>46094</v>
      </c>
      <c r="B23" t="s">
        <v>43</v>
      </c>
      <c r="C23" t="s">
        <v>47</v>
      </c>
      <c r="E23">
        <v>0</v>
      </c>
      <c r="F23">
        <v>21420</v>
      </c>
    </row>
    <row r="24" spans="1:6" hidden="1" x14ac:dyDescent="0.3">
      <c r="A24" s="1">
        <v>46110</v>
      </c>
      <c r="B24" t="s">
        <v>46</v>
      </c>
      <c r="C24" t="s">
        <v>48</v>
      </c>
      <c r="E24">
        <v>26112</v>
      </c>
      <c r="F24">
        <v>0</v>
      </c>
    </row>
    <row r="25" spans="1:6" hidden="1" x14ac:dyDescent="0.3">
      <c r="A25" s="1">
        <v>46110</v>
      </c>
      <c r="B25" t="s">
        <v>46</v>
      </c>
      <c r="C25" t="s">
        <v>49</v>
      </c>
      <c r="E25">
        <v>14700</v>
      </c>
      <c r="F25">
        <v>0</v>
      </c>
    </row>
    <row r="26" spans="1:6" x14ac:dyDescent="0.3">
      <c r="A26" s="1">
        <v>46110</v>
      </c>
      <c r="B26" t="s">
        <v>43</v>
      </c>
      <c r="C26" t="s">
        <v>48</v>
      </c>
      <c r="E26">
        <v>0</v>
      </c>
      <c r="F26">
        <v>26112</v>
      </c>
    </row>
    <row r="27" spans="1:6" x14ac:dyDescent="0.3">
      <c r="A27" s="1">
        <v>46110</v>
      </c>
      <c r="B27" t="s">
        <v>43</v>
      </c>
      <c r="C27" t="s">
        <v>49</v>
      </c>
      <c r="E27">
        <v>0</v>
      </c>
      <c r="F27">
        <v>14700</v>
      </c>
    </row>
    <row r="28" spans="1:6" hidden="1" x14ac:dyDescent="0.3">
      <c r="A28" s="1">
        <v>46112</v>
      </c>
      <c r="B28" t="s">
        <v>46</v>
      </c>
      <c r="C28" t="s">
        <v>47</v>
      </c>
      <c r="E28">
        <v>20000</v>
      </c>
      <c r="F28">
        <v>0</v>
      </c>
    </row>
    <row r="29" spans="1:6" x14ac:dyDescent="0.3">
      <c r="A29" s="1">
        <v>46112</v>
      </c>
      <c r="B29" t="s">
        <v>43</v>
      </c>
      <c r="C29" t="s">
        <v>47</v>
      </c>
      <c r="E29">
        <v>0</v>
      </c>
      <c r="F29">
        <v>20000</v>
      </c>
    </row>
    <row r="30" spans="1:6" hidden="1" x14ac:dyDescent="0.3">
      <c r="A30" s="1">
        <v>46112</v>
      </c>
      <c r="B30" t="s">
        <v>46</v>
      </c>
      <c r="C30" t="s">
        <v>47</v>
      </c>
      <c r="E30">
        <v>19762</v>
      </c>
      <c r="F30">
        <v>0</v>
      </c>
    </row>
    <row r="31" spans="1:6" x14ac:dyDescent="0.3">
      <c r="A31" s="1">
        <v>46112</v>
      </c>
      <c r="B31" t="s">
        <v>43</v>
      </c>
      <c r="C31" t="s">
        <v>47</v>
      </c>
      <c r="E31">
        <v>0</v>
      </c>
      <c r="F31">
        <v>19762</v>
      </c>
    </row>
    <row r="32" spans="1:6" hidden="1" x14ac:dyDescent="0.3">
      <c r="A32" s="1">
        <v>46112</v>
      </c>
      <c r="B32" t="s">
        <v>46</v>
      </c>
      <c r="C32" t="s">
        <v>48</v>
      </c>
      <c r="E32">
        <v>26112</v>
      </c>
      <c r="F32">
        <v>0</v>
      </c>
    </row>
    <row r="33" spans="1:6" x14ac:dyDescent="0.3">
      <c r="A33" s="1">
        <v>46112</v>
      </c>
      <c r="B33" t="s">
        <v>43</v>
      </c>
      <c r="C33" t="s">
        <v>48</v>
      </c>
      <c r="E33">
        <v>0</v>
      </c>
      <c r="F33">
        <v>26112</v>
      </c>
    </row>
    <row r="34" spans="1:6" hidden="1" x14ac:dyDescent="0.3">
      <c r="A34" s="1">
        <v>46112</v>
      </c>
      <c r="B34" t="s">
        <v>46</v>
      </c>
      <c r="C34" t="s">
        <v>47</v>
      </c>
      <c r="E34">
        <v>24750</v>
      </c>
      <c r="F34">
        <v>0</v>
      </c>
    </row>
    <row r="35" spans="1:6" x14ac:dyDescent="0.3">
      <c r="A35" s="1">
        <v>46112</v>
      </c>
      <c r="B35" t="s">
        <v>43</v>
      </c>
      <c r="C35" t="s">
        <v>47</v>
      </c>
      <c r="E35">
        <v>0</v>
      </c>
      <c r="F35">
        <v>24750</v>
      </c>
    </row>
    <row r="36" spans="1:6" x14ac:dyDescent="0.3">
      <c r="A36" s="1">
        <v>46116</v>
      </c>
      <c r="B36" t="s">
        <v>43</v>
      </c>
      <c r="C36" t="s">
        <v>50</v>
      </c>
      <c r="D36">
        <v>179</v>
      </c>
      <c r="E36">
        <v>0</v>
      </c>
      <c r="F36">
        <v>1900.92</v>
      </c>
    </row>
    <row r="37" spans="1:6" hidden="1" x14ac:dyDescent="0.3">
      <c r="A37" s="1">
        <v>46116</v>
      </c>
      <c r="B37" t="s">
        <v>46</v>
      </c>
      <c r="C37" t="s">
        <v>51</v>
      </c>
      <c r="D37">
        <v>171</v>
      </c>
      <c r="E37">
        <v>1900.92</v>
      </c>
      <c r="F37">
        <v>0</v>
      </c>
    </row>
    <row r="38" spans="1:6" x14ac:dyDescent="0.3">
      <c r="A38" s="1">
        <v>46116</v>
      </c>
      <c r="B38" t="s">
        <v>43</v>
      </c>
      <c r="C38" t="s">
        <v>52</v>
      </c>
      <c r="D38">
        <v>171</v>
      </c>
      <c r="E38">
        <v>0</v>
      </c>
      <c r="F38">
        <v>1900.92</v>
      </c>
    </row>
    <row r="39" spans="1:6" hidden="1" x14ac:dyDescent="0.3">
      <c r="A39" s="1">
        <v>46116</v>
      </c>
      <c r="B39" t="s">
        <v>46</v>
      </c>
      <c r="C39" t="s">
        <v>53</v>
      </c>
      <c r="D39">
        <v>176</v>
      </c>
      <c r="E39">
        <v>1900.92</v>
      </c>
      <c r="F39">
        <v>0</v>
      </c>
    </row>
    <row r="40" spans="1:6" x14ac:dyDescent="0.3">
      <c r="A40" s="1">
        <v>46116</v>
      </c>
      <c r="B40" t="s">
        <v>43</v>
      </c>
      <c r="C40" t="s">
        <v>54</v>
      </c>
      <c r="D40">
        <v>176</v>
      </c>
      <c r="E40">
        <v>0</v>
      </c>
      <c r="F40">
        <v>1900.92</v>
      </c>
    </row>
    <row r="41" spans="1:6" hidden="1" x14ac:dyDescent="0.3">
      <c r="A41" s="1">
        <v>46116</v>
      </c>
      <c r="B41" t="s">
        <v>46</v>
      </c>
      <c r="C41" t="s">
        <v>55</v>
      </c>
      <c r="D41">
        <v>129</v>
      </c>
      <c r="E41">
        <v>1900.92</v>
      </c>
      <c r="F41">
        <v>0</v>
      </c>
    </row>
    <row r="42" spans="1:6" x14ac:dyDescent="0.3">
      <c r="A42" s="1">
        <v>46116</v>
      </c>
      <c r="B42" t="s">
        <v>43</v>
      </c>
      <c r="C42" t="s">
        <v>56</v>
      </c>
      <c r="D42">
        <v>129</v>
      </c>
      <c r="E42">
        <v>0</v>
      </c>
      <c r="F42">
        <v>1900.92</v>
      </c>
    </row>
    <row r="43" spans="1:6" hidden="1" x14ac:dyDescent="0.3">
      <c r="A43" s="1">
        <v>46116</v>
      </c>
      <c r="B43" t="s">
        <v>46</v>
      </c>
      <c r="C43" t="s">
        <v>57</v>
      </c>
      <c r="D43">
        <v>170</v>
      </c>
      <c r="E43">
        <v>1900.92</v>
      </c>
      <c r="F43">
        <v>0</v>
      </c>
    </row>
    <row r="44" spans="1:6" x14ac:dyDescent="0.3">
      <c r="A44" s="1">
        <v>46116</v>
      </c>
      <c r="B44" t="s">
        <v>43</v>
      </c>
      <c r="C44" t="s">
        <v>58</v>
      </c>
      <c r="D44">
        <v>170</v>
      </c>
      <c r="E44">
        <v>0</v>
      </c>
      <c r="F44">
        <v>1900.92</v>
      </c>
    </row>
    <row r="45" spans="1:6" hidden="1" x14ac:dyDescent="0.3">
      <c r="A45" s="1">
        <v>46116</v>
      </c>
      <c r="B45" t="s">
        <v>46</v>
      </c>
      <c r="C45" t="s">
        <v>59</v>
      </c>
      <c r="D45">
        <v>7</v>
      </c>
      <c r="E45">
        <v>1900.92</v>
      </c>
      <c r="F45">
        <v>0</v>
      </c>
    </row>
    <row r="46" spans="1:6" x14ac:dyDescent="0.3">
      <c r="A46" s="1">
        <v>46116</v>
      </c>
      <c r="B46" t="s">
        <v>43</v>
      </c>
      <c r="C46" t="s">
        <v>60</v>
      </c>
      <c r="D46">
        <v>175</v>
      </c>
      <c r="E46">
        <v>0</v>
      </c>
      <c r="F46">
        <v>1900.92</v>
      </c>
    </row>
    <row r="47" spans="1:6" hidden="1" x14ac:dyDescent="0.3">
      <c r="A47" s="1">
        <v>46116</v>
      </c>
      <c r="B47" t="s">
        <v>46</v>
      </c>
      <c r="C47" t="s">
        <v>61</v>
      </c>
      <c r="D47">
        <v>175</v>
      </c>
      <c r="E47">
        <v>1900.92</v>
      </c>
      <c r="F47">
        <v>0</v>
      </c>
    </row>
    <row r="48" spans="1:6" x14ac:dyDescent="0.3">
      <c r="A48" s="1">
        <v>46116</v>
      </c>
      <c r="B48" t="s">
        <v>43</v>
      </c>
      <c r="C48" t="s">
        <v>62</v>
      </c>
      <c r="D48">
        <v>177</v>
      </c>
      <c r="E48">
        <v>0</v>
      </c>
      <c r="F48">
        <v>1900.92</v>
      </c>
    </row>
    <row r="49" spans="1:6" hidden="1" x14ac:dyDescent="0.3">
      <c r="A49" s="1">
        <v>46116</v>
      </c>
      <c r="B49" t="s">
        <v>46</v>
      </c>
      <c r="C49" t="s">
        <v>63</v>
      </c>
      <c r="D49">
        <v>177</v>
      </c>
      <c r="E49">
        <v>1900.92</v>
      </c>
      <c r="F49">
        <v>0</v>
      </c>
    </row>
    <row r="50" spans="1:6" x14ac:dyDescent="0.3">
      <c r="A50" s="1">
        <v>46116</v>
      </c>
      <c r="B50" t="s">
        <v>43</v>
      </c>
      <c r="C50" t="s">
        <v>64</v>
      </c>
      <c r="D50">
        <v>197</v>
      </c>
      <c r="E50">
        <v>0</v>
      </c>
      <c r="F50">
        <v>1900.92</v>
      </c>
    </row>
    <row r="51" spans="1:6" hidden="1" x14ac:dyDescent="0.3">
      <c r="A51" s="1">
        <v>46116</v>
      </c>
      <c r="B51" t="s">
        <v>46</v>
      </c>
      <c r="C51" t="s">
        <v>65</v>
      </c>
      <c r="D51">
        <v>197</v>
      </c>
      <c r="E51">
        <v>1900.92</v>
      </c>
      <c r="F51">
        <v>0</v>
      </c>
    </row>
    <row r="52" spans="1:6" x14ac:dyDescent="0.3">
      <c r="A52" s="1">
        <v>46116</v>
      </c>
      <c r="B52" t="s">
        <v>43</v>
      </c>
      <c r="C52" t="s">
        <v>66</v>
      </c>
      <c r="D52">
        <v>198</v>
      </c>
      <c r="E52">
        <v>0</v>
      </c>
      <c r="F52">
        <v>1900.92</v>
      </c>
    </row>
    <row r="53" spans="1:6" hidden="1" x14ac:dyDescent="0.3">
      <c r="A53" s="1">
        <v>46116</v>
      </c>
      <c r="B53" t="s">
        <v>46</v>
      </c>
      <c r="C53" t="s">
        <v>67</v>
      </c>
      <c r="D53">
        <v>198</v>
      </c>
      <c r="E53">
        <v>1900.92</v>
      </c>
      <c r="F53">
        <v>0</v>
      </c>
    </row>
    <row r="54" spans="1:6" x14ac:dyDescent="0.3">
      <c r="A54" s="1">
        <v>46116</v>
      </c>
      <c r="B54" t="s">
        <v>43</v>
      </c>
      <c r="C54" t="s">
        <v>68</v>
      </c>
      <c r="D54">
        <v>174</v>
      </c>
      <c r="E54">
        <v>0</v>
      </c>
      <c r="F54">
        <v>1900.92</v>
      </c>
    </row>
    <row r="55" spans="1:6" hidden="1" x14ac:dyDescent="0.3">
      <c r="A55" s="1">
        <v>46116</v>
      </c>
      <c r="B55" t="s">
        <v>46</v>
      </c>
      <c r="C55" t="s">
        <v>69</v>
      </c>
      <c r="D55">
        <v>174</v>
      </c>
      <c r="E55">
        <v>1900.92</v>
      </c>
      <c r="F55">
        <v>0</v>
      </c>
    </row>
    <row r="56" spans="1:6" x14ac:dyDescent="0.3">
      <c r="A56" s="1">
        <v>46116</v>
      </c>
      <c r="B56" t="s">
        <v>43</v>
      </c>
      <c r="C56" t="s">
        <v>70</v>
      </c>
      <c r="D56">
        <v>7</v>
      </c>
      <c r="E56">
        <v>0</v>
      </c>
      <c r="F56">
        <v>1900.92</v>
      </c>
    </row>
    <row r="57" spans="1:6" hidden="1" x14ac:dyDescent="0.3">
      <c r="A57" s="1">
        <v>46116</v>
      </c>
      <c r="B57" t="s">
        <v>46</v>
      </c>
      <c r="C57" t="s">
        <v>71</v>
      </c>
      <c r="D57">
        <v>99</v>
      </c>
      <c r="E57">
        <v>1900.92</v>
      </c>
      <c r="F57">
        <v>0</v>
      </c>
    </row>
    <row r="58" spans="1:6" x14ac:dyDescent="0.3">
      <c r="A58" s="1">
        <v>46116</v>
      </c>
      <c r="B58" t="s">
        <v>43</v>
      </c>
      <c r="C58" t="s">
        <v>72</v>
      </c>
      <c r="D58">
        <v>99</v>
      </c>
      <c r="E58">
        <v>0</v>
      </c>
      <c r="F58">
        <v>1900.92</v>
      </c>
    </row>
    <row r="59" spans="1:6" hidden="1" x14ac:dyDescent="0.3">
      <c r="A59" s="1">
        <v>46116</v>
      </c>
      <c r="B59" t="s">
        <v>46</v>
      </c>
      <c r="C59" t="s">
        <v>73</v>
      </c>
      <c r="D59">
        <v>46</v>
      </c>
      <c r="E59">
        <v>1900.92</v>
      </c>
      <c r="F59">
        <v>0</v>
      </c>
    </row>
    <row r="60" spans="1:6" x14ac:dyDescent="0.3">
      <c r="A60" s="1">
        <v>46116</v>
      </c>
      <c r="B60" t="s">
        <v>43</v>
      </c>
      <c r="C60" t="s">
        <v>74</v>
      </c>
      <c r="D60">
        <v>46</v>
      </c>
      <c r="E60">
        <v>0</v>
      </c>
      <c r="F60">
        <v>1900.92</v>
      </c>
    </row>
    <row r="61" spans="1:6" hidden="1" x14ac:dyDescent="0.3">
      <c r="A61" s="1">
        <v>46116</v>
      </c>
      <c r="B61" t="s">
        <v>46</v>
      </c>
      <c r="C61" t="s">
        <v>75</v>
      </c>
      <c r="D61">
        <v>91</v>
      </c>
      <c r="E61">
        <v>1900.92</v>
      </c>
      <c r="F61">
        <v>0</v>
      </c>
    </row>
    <row r="62" spans="1:6" x14ac:dyDescent="0.3">
      <c r="A62" s="1">
        <v>46116</v>
      </c>
      <c r="B62" t="s">
        <v>43</v>
      </c>
      <c r="C62" t="s">
        <v>76</v>
      </c>
      <c r="D62">
        <v>91</v>
      </c>
      <c r="E62">
        <v>0</v>
      </c>
      <c r="F62">
        <v>1900.92</v>
      </c>
    </row>
    <row r="63" spans="1:6" hidden="1" x14ac:dyDescent="0.3">
      <c r="A63" s="1">
        <v>46116</v>
      </c>
      <c r="B63" t="s">
        <v>46</v>
      </c>
      <c r="C63" t="s">
        <v>77</v>
      </c>
      <c r="D63">
        <v>28</v>
      </c>
      <c r="E63">
        <v>1900.92</v>
      </c>
      <c r="F63">
        <v>0</v>
      </c>
    </row>
    <row r="64" spans="1:6" x14ac:dyDescent="0.3">
      <c r="A64" s="1">
        <v>46116</v>
      </c>
      <c r="B64" t="s">
        <v>43</v>
      </c>
      <c r="C64" t="s">
        <v>78</v>
      </c>
      <c r="D64">
        <v>28</v>
      </c>
      <c r="E64">
        <v>0</v>
      </c>
      <c r="F64">
        <v>1900.92</v>
      </c>
    </row>
    <row r="65" spans="1:6" hidden="1" x14ac:dyDescent="0.3">
      <c r="A65" s="1">
        <v>46116</v>
      </c>
      <c r="B65" t="s">
        <v>46</v>
      </c>
      <c r="C65" t="s">
        <v>79</v>
      </c>
      <c r="D65">
        <v>66</v>
      </c>
      <c r="E65">
        <v>1900.92</v>
      </c>
      <c r="F65">
        <v>0</v>
      </c>
    </row>
    <row r="66" spans="1:6" x14ac:dyDescent="0.3">
      <c r="A66" s="1">
        <v>46116</v>
      </c>
      <c r="B66" t="s">
        <v>43</v>
      </c>
      <c r="C66" t="s">
        <v>80</v>
      </c>
      <c r="D66">
        <v>66</v>
      </c>
      <c r="E66">
        <v>0</v>
      </c>
      <c r="F66">
        <v>1900.92</v>
      </c>
    </row>
    <row r="67" spans="1:6" hidden="1" x14ac:dyDescent="0.3">
      <c r="A67" s="1">
        <v>46116</v>
      </c>
      <c r="B67" t="s">
        <v>46</v>
      </c>
      <c r="C67" t="s">
        <v>81</v>
      </c>
      <c r="D67">
        <v>59</v>
      </c>
      <c r="E67">
        <v>1900.92</v>
      </c>
      <c r="F67">
        <v>0</v>
      </c>
    </row>
    <row r="68" spans="1:6" x14ac:dyDescent="0.3">
      <c r="A68" s="1">
        <v>46116</v>
      </c>
      <c r="B68" t="s">
        <v>43</v>
      </c>
      <c r="C68" t="s">
        <v>82</v>
      </c>
      <c r="D68">
        <v>59</v>
      </c>
      <c r="E68">
        <v>0</v>
      </c>
      <c r="F68">
        <v>1900.92</v>
      </c>
    </row>
    <row r="69" spans="1:6" hidden="1" x14ac:dyDescent="0.3">
      <c r="A69" s="1">
        <v>46116</v>
      </c>
      <c r="B69" t="s">
        <v>46</v>
      </c>
      <c r="C69" t="s">
        <v>83</v>
      </c>
      <c r="D69">
        <v>178</v>
      </c>
      <c r="E69">
        <v>1900.92</v>
      </c>
      <c r="F69">
        <v>0</v>
      </c>
    </row>
    <row r="70" spans="1:6" x14ac:dyDescent="0.3">
      <c r="A70" s="1">
        <v>46116</v>
      </c>
      <c r="B70" t="s">
        <v>43</v>
      </c>
      <c r="C70" t="s">
        <v>84</v>
      </c>
      <c r="D70">
        <v>178</v>
      </c>
      <c r="E70">
        <v>0</v>
      </c>
      <c r="F70">
        <v>1900.92</v>
      </c>
    </row>
    <row r="71" spans="1:6" hidden="1" x14ac:dyDescent="0.3">
      <c r="A71" s="1">
        <v>46116</v>
      </c>
      <c r="B71" t="s">
        <v>46</v>
      </c>
      <c r="C71" t="s">
        <v>85</v>
      </c>
      <c r="D71">
        <v>199</v>
      </c>
      <c r="E71">
        <v>1900.92</v>
      </c>
      <c r="F71">
        <v>0</v>
      </c>
    </row>
    <row r="72" spans="1:6" x14ac:dyDescent="0.3">
      <c r="A72" s="1">
        <v>46116</v>
      </c>
      <c r="B72" t="s">
        <v>43</v>
      </c>
      <c r="C72" t="s">
        <v>86</v>
      </c>
      <c r="D72">
        <v>199</v>
      </c>
      <c r="E72">
        <v>0</v>
      </c>
      <c r="F72">
        <v>1900.92</v>
      </c>
    </row>
    <row r="73" spans="1:6" hidden="1" x14ac:dyDescent="0.3">
      <c r="A73" s="1">
        <v>46116</v>
      </c>
      <c r="B73" t="s">
        <v>46</v>
      </c>
      <c r="C73" t="s">
        <v>87</v>
      </c>
      <c r="D73">
        <v>25</v>
      </c>
      <c r="E73">
        <v>1900.92</v>
      </c>
      <c r="F73">
        <v>0</v>
      </c>
    </row>
    <row r="74" spans="1:6" x14ac:dyDescent="0.3">
      <c r="A74" s="1">
        <v>46116</v>
      </c>
      <c r="B74" t="s">
        <v>43</v>
      </c>
      <c r="C74" t="s">
        <v>88</v>
      </c>
      <c r="D74">
        <v>25</v>
      </c>
      <c r="E74">
        <v>0</v>
      </c>
      <c r="F74">
        <v>1900.92</v>
      </c>
    </row>
    <row r="75" spans="1:6" hidden="1" x14ac:dyDescent="0.3">
      <c r="A75" s="1">
        <v>46116</v>
      </c>
      <c r="B75" t="s">
        <v>46</v>
      </c>
      <c r="C75" t="s">
        <v>89</v>
      </c>
      <c r="D75">
        <v>344</v>
      </c>
      <c r="E75">
        <v>1900.92</v>
      </c>
      <c r="F75">
        <v>0</v>
      </c>
    </row>
    <row r="76" spans="1:6" x14ac:dyDescent="0.3">
      <c r="A76" s="1">
        <v>46116</v>
      </c>
      <c r="B76" t="s">
        <v>43</v>
      </c>
      <c r="C76" t="s">
        <v>90</v>
      </c>
      <c r="D76">
        <v>344</v>
      </c>
      <c r="E76">
        <v>0</v>
      </c>
      <c r="F76">
        <v>1900.92</v>
      </c>
    </row>
    <row r="77" spans="1:6" hidden="1" x14ac:dyDescent="0.3">
      <c r="A77" s="1">
        <v>46116</v>
      </c>
      <c r="B77" t="s">
        <v>46</v>
      </c>
      <c r="C77" t="s">
        <v>91</v>
      </c>
      <c r="D77">
        <v>24</v>
      </c>
      <c r="E77">
        <v>1900.92</v>
      </c>
      <c r="F77">
        <v>0</v>
      </c>
    </row>
    <row r="78" spans="1:6" x14ac:dyDescent="0.3">
      <c r="A78" s="1">
        <v>46116</v>
      </c>
      <c r="B78" t="s">
        <v>43</v>
      </c>
      <c r="C78" t="s">
        <v>92</v>
      </c>
      <c r="D78">
        <v>24</v>
      </c>
      <c r="E78">
        <v>0</v>
      </c>
      <c r="F78">
        <v>1900.92</v>
      </c>
    </row>
    <row r="79" spans="1:6" hidden="1" x14ac:dyDescent="0.3">
      <c r="A79" s="1">
        <v>46116</v>
      </c>
      <c r="B79" t="s">
        <v>46</v>
      </c>
      <c r="C79" t="s">
        <v>93</v>
      </c>
      <c r="D79">
        <v>169</v>
      </c>
      <c r="E79">
        <v>1900.92</v>
      </c>
      <c r="F79">
        <v>0</v>
      </c>
    </row>
    <row r="80" spans="1:6" x14ac:dyDescent="0.3">
      <c r="A80" s="1">
        <v>46116</v>
      </c>
      <c r="B80" t="s">
        <v>43</v>
      </c>
      <c r="C80" t="s">
        <v>94</v>
      </c>
      <c r="D80">
        <v>169</v>
      </c>
      <c r="E80">
        <v>0</v>
      </c>
      <c r="F80">
        <v>1900.92</v>
      </c>
    </row>
    <row r="81" spans="1:6" hidden="1" x14ac:dyDescent="0.3">
      <c r="A81" s="1">
        <v>46116</v>
      </c>
      <c r="B81" t="s">
        <v>46</v>
      </c>
      <c r="C81" t="s">
        <v>95</v>
      </c>
      <c r="D81">
        <v>23</v>
      </c>
      <c r="E81">
        <v>1900.92</v>
      </c>
      <c r="F81">
        <v>0</v>
      </c>
    </row>
    <row r="82" spans="1:6" x14ac:dyDescent="0.3">
      <c r="A82" s="1">
        <v>46116</v>
      </c>
      <c r="B82" t="s">
        <v>43</v>
      </c>
      <c r="C82" t="s">
        <v>96</v>
      </c>
      <c r="D82">
        <v>23</v>
      </c>
      <c r="E82">
        <v>0</v>
      </c>
      <c r="F82">
        <v>1900.92</v>
      </c>
    </row>
    <row r="83" spans="1:6" hidden="1" x14ac:dyDescent="0.3">
      <c r="A83" s="1">
        <v>46116</v>
      </c>
      <c r="B83" t="s">
        <v>46</v>
      </c>
      <c r="C83" t="s">
        <v>97</v>
      </c>
      <c r="D83">
        <v>361</v>
      </c>
      <c r="E83">
        <v>1900.92</v>
      </c>
      <c r="F83">
        <v>0</v>
      </c>
    </row>
    <row r="84" spans="1:6" x14ac:dyDescent="0.3">
      <c r="A84" s="1">
        <v>46116</v>
      </c>
      <c r="B84" t="s">
        <v>43</v>
      </c>
      <c r="C84" t="s">
        <v>98</v>
      </c>
      <c r="D84">
        <v>361</v>
      </c>
      <c r="E84">
        <v>0</v>
      </c>
      <c r="F84">
        <v>1900.92</v>
      </c>
    </row>
    <row r="85" spans="1:6" hidden="1" x14ac:dyDescent="0.3">
      <c r="A85" s="1">
        <v>46116</v>
      </c>
      <c r="B85" t="s">
        <v>46</v>
      </c>
      <c r="C85" t="s">
        <v>99</v>
      </c>
      <c r="D85">
        <v>114</v>
      </c>
      <c r="E85">
        <v>1900.92</v>
      </c>
      <c r="F85">
        <v>0</v>
      </c>
    </row>
    <row r="86" spans="1:6" x14ac:dyDescent="0.3">
      <c r="A86" s="1">
        <v>46116</v>
      </c>
      <c r="B86" t="s">
        <v>43</v>
      </c>
      <c r="C86" t="s">
        <v>100</v>
      </c>
      <c r="D86">
        <v>114</v>
      </c>
      <c r="E86">
        <v>0</v>
      </c>
      <c r="F86">
        <v>1900.92</v>
      </c>
    </row>
    <row r="87" spans="1:6" hidden="1" x14ac:dyDescent="0.3">
      <c r="A87" s="1">
        <v>46116</v>
      </c>
      <c r="B87" t="s">
        <v>46</v>
      </c>
      <c r="C87" t="s">
        <v>101</v>
      </c>
      <c r="D87">
        <v>52</v>
      </c>
      <c r="E87">
        <v>1900.92</v>
      </c>
      <c r="F87">
        <v>0</v>
      </c>
    </row>
    <row r="88" spans="1:6" x14ac:dyDescent="0.3">
      <c r="A88" s="1">
        <v>46116</v>
      </c>
      <c r="B88" t="s">
        <v>43</v>
      </c>
      <c r="C88" t="s">
        <v>102</v>
      </c>
      <c r="D88">
        <v>52</v>
      </c>
      <c r="E88">
        <v>0</v>
      </c>
      <c r="F88">
        <v>1900.92</v>
      </c>
    </row>
    <row r="89" spans="1:6" hidden="1" x14ac:dyDescent="0.3">
      <c r="A89" s="1">
        <v>46116</v>
      </c>
      <c r="B89" t="s">
        <v>46</v>
      </c>
      <c r="C89" t="s">
        <v>103</v>
      </c>
      <c r="D89">
        <v>50</v>
      </c>
      <c r="E89">
        <v>1900.92</v>
      </c>
      <c r="F89">
        <v>0</v>
      </c>
    </row>
    <row r="90" spans="1:6" x14ac:dyDescent="0.3">
      <c r="A90" s="1">
        <v>46116</v>
      </c>
      <c r="B90" t="s">
        <v>43</v>
      </c>
      <c r="C90" t="s">
        <v>104</v>
      </c>
      <c r="D90">
        <v>50</v>
      </c>
      <c r="E90">
        <v>0</v>
      </c>
      <c r="F90">
        <v>1900.92</v>
      </c>
    </row>
    <row r="91" spans="1:6" hidden="1" x14ac:dyDescent="0.3">
      <c r="A91" s="1">
        <v>46116</v>
      </c>
      <c r="B91" t="s">
        <v>46</v>
      </c>
      <c r="C91" t="s">
        <v>105</v>
      </c>
      <c r="D91">
        <v>49</v>
      </c>
      <c r="E91">
        <v>1900.92</v>
      </c>
      <c r="F91">
        <v>0</v>
      </c>
    </row>
    <row r="92" spans="1:6" x14ac:dyDescent="0.3">
      <c r="A92" s="1">
        <v>46116</v>
      </c>
      <c r="B92" t="s">
        <v>43</v>
      </c>
      <c r="C92" t="s">
        <v>106</v>
      </c>
      <c r="D92">
        <v>49</v>
      </c>
      <c r="E92">
        <v>0</v>
      </c>
      <c r="F92">
        <v>1900.92</v>
      </c>
    </row>
    <row r="93" spans="1:6" hidden="1" x14ac:dyDescent="0.3">
      <c r="A93" s="1">
        <v>46116</v>
      </c>
      <c r="B93" t="s">
        <v>46</v>
      </c>
      <c r="C93" t="s">
        <v>107</v>
      </c>
      <c r="D93">
        <v>173</v>
      </c>
      <c r="E93">
        <v>1900.92</v>
      </c>
      <c r="F93">
        <v>0</v>
      </c>
    </row>
    <row r="94" spans="1:6" x14ac:dyDescent="0.3">
      <c r="A94" s="1">
        <v>46116</v>
      </c>
      <c r="B94" t="s">
        <v>43</v>
      </c>
      <c r="C94" t="s">
        <v>108</v>
      </c>
      <c r="D94">
        <v>173</v>
      </c>
      <c r="E94">
        <v>0</v>
      </c>
      <c r="F94">
        <v>1900.92</v>
      </c>
    </row>
    <row r="95" spans="1:6" hidden="1" x14ac:dyDescent="0.3">
      <c r="A95" s="1">
        <v>46116</v>
      </c>
      <c r="B95" t="s">
        <v>46</v>
      </c>
      <c r="C95" t="s">
        <v>109</v>
      </c>
      <c r="D95">
        <v>47</v>
      </c>
      <c r="E95">
        <v>1900.92</v>
      </c>
      <c r="F95">
        <v>0</v>
      </c>
    </row>
    <row r="96" spans="1:6" x14ac:dyDescent="0.3">
      <c r="A96" s="1">
        <v>46116</v>
      </c>
      <c r="B96" t="s">
        <v>43</v>
      </c>
      <c r="C96" t="s">
        <v>110</v>
      </c>
      <c r="D96">
        <v>47</v>
      </c>
      <c r="E96">
        <v>0</v>
      </c>
      <c r="F96">
        <v>1900.92</v>
      </c>
    </row>
    <row r="97" spans="1:6" hidden="1" x14ac:dyDescent="0.3">
      <c r="A97" s="1">
        <v>46116</v>
      </c>
      <c r="B97" t="s">
        <v>46</v>
      </c>
      <c r="C97" t="s">
        <v>111</v>
      </c>
      <c r="D97">
        <v>364</v>
      </c>
      <c r="E97">
        <v>1900.92</v>
      </c>
      <c r="F97">
        <v>0</v>
      </c>
    </row>
    <row r="98" spans="1:6" x14ac:dyDescent="0.3">
      <c r="A98" s="1">
        <v>46116</v>
      </c>
      <c r="B98" t="s">
        <v>43</v>
      </c>
      <c r="C98" t="s">
        <v>112</v>
      </c>
      <c r="D98">
        <v>364</v>
      </c>
      <c r="E98">
        <v>0</v>
      </c>
      <c r="F98">
        <v>1900.92</v>
      </c>
    </row>
    <row r="99" spans="1:6" hidden="1" x14ac:dyDescent="0.3">
      <c r="A99" s="1">
        <v>46116</v>
      </c>
      <c r="B99" t="s">
        <v>46</v>
      </c>
      <c r="C99" t="s">
        <v>113</v>
      </c>
      <c r="D99">
        <v>22</v>
      </c>
      <c r="E99">
        <v>1900.92</v>
      </c>
      <c r="F99">
        <v>0</v>
      </c>
    </row>
    <row r="100" spans="1:6" x14ac:dyDescent="0.3">
      <c r="A100" s="1">
        <v>46116</v>
      </c>
      <c r="B100" t="s">
        <v>43</v>
      </c>
      <c r="C100" t="s">
        <v>114</v>
      </c>
      <c r="D100">
        <v>22</v>
      </c>
      <c r="E100">
        <v>0</v>
      </c>
      <c r="F100">
        <v>1900.92</v>
      </c>
    </row>
    <row r="101" spans="1:6" hidden="1" x14ac:dyDescent="0.3">
      <c r="A101" s="1">
        <v>46116</v>
      </c>
      <c r="B101" t="s">
        <v>46</v>
      </c>
      <c r="C101" t="s">
        <v>115</v>
      </c>
      <c r="D101">
        <v>363</v>
      </c>
      <c r="E101">
        <v>1900.92</v>
      </c>
      <c r="F101">
        <v>0</v>
      </c>
    </row>
    <row r="102" spans="1:6" x14ac:dyDescent="0.3">
      <c r="A102" s="1">
        <v>46116</v>
      </c>
      <c r="B102" t="s">
        <v>43</v>
      </c>
      <c r="C102" t="s">
        <v>116</v>
      </c>
      <c r="D102">
        <v>363</v>
      </c>
      <c r="E102">
        <v>0</v>
      </c>
      <c r="F102">
        <v>1900.92</v>
      </c>
    </row>
    <row r="103" spans="1:6" hidden="1" x14ac:dyDescent="0.3">
      <c r="A103" s="1">
        <v>46116</v>
      </c>
      <c r="B103" t="s">
        <v>46</v>
      </c>
      <c r="C103" t="s">
        <v>117</v>
      </c>
      <c r="D103">
        <v>172</v>
      </c>
      <c r="E103">
        <v>1900.92</v>
      </c>
      <c r="F103">
        <v>0</v>
      </c>
    </row>
    <row r="104" spans="1:6" x14ac:dyDescent="0.3">
      <c r="A104" s="1">
        <v>46116</v>
      </c>
      <c r="B104" t="s">
        <v>43</v>
      </c>
      <c r="C104" t="s">
        <v>118</v>
      </c>
      <c r="D104">
        <v>172</v>
      </c>
      <c r="E104">
        <v>0</v>
      </c>
      <c r="F104">
        <v>1900.92</v>
      </c>
    </row>
    <row r="105" spans="1:6" hidden="1" x14ac:dyDescent="0.3">
      <c r="A105" s="1">
        <v>46116</v>
      </c>
      <c r="B105" t="s">
        <v>46</v>
      </c>
      <c r="C105" t="s">
        <v>119</v>
      </c>
      <c r="D105">
        <v>200</v>
      </c>
      <c r="E105">
        <v>1900.92</v>
      </c>
      <c r="F105">
        <v>0</v>
      </c>
    </row>
    <row r="106" spans="1:6" x14ac:dyDescent="0.3">
      <c r="A106" s="1">
        <v>46116</v>
      </c>
      <c r="B106" t="s">
        <v>43</v>
      </c>
      <c r="C106" t="s">
        <v>120</v>
      </c>
      <c r="D106">
        <v>200</v>
      </c>
      <c r="E106">
        <v>0</v>
      </c>
      <c r="F106">
        <v>1900.92</v>
      </c>
    </row>
    <row r="107" spans="1:6" hidden="1" x14ac:dyDescent="0.3">
      <c r="A107" s="1">
        <v>46116</v>
      </c>
      <c r="B107" t="s">
        <v>46</v>
      </c>
      <c r="C107" t="s">
        <v>121</v>
      </c>
      <c r="D107">
        <v>179</v>
      </c>
      <c r="E107">
        <v>1900.92</v>
      </c>
      <c r="F107">
        <v>0</v>
      </c>
    </row>
    <row r="108" spans="1:6" x14ac:dyDescent="0.3">
      <c r="A108" s="1">
        <v>46120</v>
      </c>
      <c r="B108" t="s">
        <v>43</v>
      </c>
      <c r="C108" t="s">
        <v>122</v>
      </c>
      <c r="E108">
        <v>0</v>
      </c>
      <c r="F108">
        <v>5800</v>
      </c>
    </row>
    <row r="109" spans="1:6" hidden="1" x14ac:dyDescent="0.3">
      <c r="A109" s="1">
        <v>46120</v>
      </c>
      <c r="B109" t="s">
        <v>46</v>
      </c>
      <c r="C109" t="s">
        <v>123</v>
      </c>
      <c r="E109">
        <v>11400</v>
      </c>
      <c r="F109">
        <v>0</v>
      </c>
    </row>
    <row r="110" spans="1:6" x14ac:dyDescent="0.3">
      <c r="A110" s="1">
        <v>46120</v>
      </c>
      <c r="B110" t="s">
        <v>43</v>
      </c>
      <c r="C110" t="s">
        <v>123</v>
      </c>
      <c r="E110">
        <v>0</v>
      </c>
      <c r="F110">
        <v>11400</v>
      </c>
    </row>
    <row r="111" spans="1:6" hidden="1" x14ac:dyDescent="0.3">
      <c r="A111" s="1">
        <v>46120</v>
      </c>
      <c r="B111" t="s">
        <v>46</v>
      </c>
      <c r="C111" t="s">
        <v>124</v>
      </c>
      <c r="E111">
        <v>3715</v>
      </c>
      <c r="F111">
        <v>0</v>
      </c>
    </row>
    <row r="112" spans="1:6" x14ac:dyDescent="0.3">
      <c r="A112" s="1">
        <v>46120</v>
      </c>
      <c r="B112" t="s">
        <v>43</v>
      </c>
      <c r="C112" t="s">
        <v>124</v>
      </c>
      <c r="E112">
        <v>0</v>
      </c>
      <c r="F112">
        <v>3715</v>
      </c>
    </row>
    <row r="113" spans="1:6" hidden="1" x14ac:dyDescent="0.3">
      <c r="A113" s="1">
        <v>46120</v>
      </c>
      <c r="B113" t="s">
        <v>46</v>
      </c>
      <c r="C113" t="s">
        <v>122</v>
      </c>
      <c r="E113">
        <v>5800</v>
      </c>
      <c r="F113">
        <v>0</v>
      </c>
    </row>
    <row r="114" spans="1:6" x14ac:dyDescent="0.3">
      <c r="A114" s="1">
        <v>46126</v>
      </c>
      <c r="B114" t="s">
        <v>43</v>
      </c>
      <c r="C114" t="s">
        <v>47</v>
      </c>
      <c r="E114">
        <v>0</v>
      </c>
      <c r="F114">
        <v>17505</v>
      </c>
    </row>
    <row r="115" spans="1:6" hidden="1" x14ac:dyDescent="0.3">
      <c r="A115" s="1">
        <v>46126</v>
      </c>
      <c r="B115" t="s">
        <v>46</v>
      </c>
      <c r="C115" t="s">
        <v>47</v>
      </c>
      <c r="E115">
        <v>17505</v>
      </c>
      <c r="F115">
        <v>0</v>
      </c>
    </row>
    <row r="116" spans="1:6" hidden="1" x14ac:dyDescent="0.3">
      <c r="A116" s="1">
        <v>46127</v>
      </c>
      <c r="B116" t="s">
        <v>46</v>
      </c>
      <c r="C116" t="s">
        <v>47</v>
      </c>
      <c r="E116">
        <v>24750</v>
      </c>
      <c r="F116">
        <v>0</v>
      </c>
    </row>
    <row r="117" spans="1:6" x14ac:dyDescent="0.3">
      <c r="A117" s="1">
        <v>46127</v>
      </c>
      <c r="B117" t="s">
        <v>43</v>
      </c>
      <c r="C117" t="s">
        <v>47</v>
      </c>
      <c r="E117">
        <v>0</v>
      </c>
      <c r="F117">
        <v>24750</v>
      </c>
    </row>
    <row r="118" spans="1:6" x14ac:dyDescent="0.3">
      <c r="A118" s="1">
        <v>46130</v>
      </c>
      <c r="B118" t="s">
        <v>43</v>
      </c>
      <c r="C118" t="s">
        <v>48</v>
      </c>
      <c r="E118">
        <v>0</v>
      </c>
      <c r="F118">
        <v>24840</v>
      </c>
    </row>
    <row r="119" spans="1:6" hidden="1" x14ac:dyDescent="0.3">
      <c r="A119" s="1">
        <v>46130</v>
      </c>
      <c r="B119" t="s">
        <v>46</v>
      </c>
      <c r="C119" t="s">
        <v>48</v>
      </c>
      <c r="E119">
        <v>24840</v>
      </c>
      <c r="F119">
        <v>0</v>
      </c>
    </row>
    <row r="120" spans="1:6" x14ac:dyDescent="0.3">
      <c r="A120" s="1">
        <v>46141</v>
      </c>
      <c r="B120" t="s">
        <v>43</v>
      </c>
      <c r="C120" t="s">
        <v>48</v>
      </c>
      <c r="E120">
        <v>0</v>
      </c>
      <c r="F120">
        <v>40500</v>
      </c>
    </row>
    <row r="121" spans="1:6" hidden="1" x14ac:dyDescent="0.3">
      <c r="A121" s="1">
        <v>46141</v>
      </c>
      <c r="B121" t="s">
        <v>46</v>
      </c>
      <c r="C121" t="s">
        <v>48</v>
      </c>
      <c r="E121">
        <v>40500</v>
      </c>
      <c r="F121">
        <v>0</v>
      </c>
    </row>
    <row r="122" spans="1:6" hidden="1" x14ac:dyDescent="0.3">
      <c r="A122" s="1">
        <v>46144</v>
      </c>
      <c r="B122" t="s">
        <v>46</v>
      </c>
      <c r="C122" t="s">
        <v>49</v>
      </c>
      <c r="E122">
        <v>10000</v>
      </c>
      <c r="F122">
        <v>0</v>
      </c>
    </row>
    <row r="123" spans="1:6" x14ac:dyDescent="0.3">
      <c r="A123" s="1">
        <v>46144</v>
      </c>
      <c r="B123" t="s">
        <v>43</v>
      </c>
      <c r="C123" t="s">
        <v>49</v>
      </c>
      <c r="E123">
        <v>0</v>
      </c>
      <c r="F123">
        <v>10000</v>
      </c>
    </row>
    <row r="124" spans="1:6" hidden="1" x14ac:dyDescent="0.3">
      <c r="A124" s="1">
        <v>46146</v>
      </c>
      <c r="B124" t="s">
        <v>46</v>
      </c>
      <c r="C124" t="s">
        <v>125</v>
      </c>
      <c r="D124">
        <v>52</v>
      </c>
      <c r="E124">
        <v>1387.05</v>
      </c>
      <c r="F124">
        <v>0</v>
      </c>
    </row>
    <row r="125" spans="1:6" hidden="1" x14ac:dyDescent="0.3">
      <c r="A125" s="1">
        <v>46146</v>
      </c>
      <c r="B125" t="s">
        <v>46</v>
      </c>
      <c r="C125" t="s">
        <v>126</v>
      </c>
      <c r="D125">
        <v>344</v>
      </c>
      <c r="E125">
        <v>1387.05</v>
      </c>
      <c r="F125">
        <v>0</v>
      </c>
    </row>
    <row r="126" spans="1:6" x14ac:dyDescent="0.3">
      <c r="A126" s="1">
        <v>46146</v>
      </c>
      <c r="B126" t="s">
        <v>43</v>
      </c>
      <c r="C126" t="s">
        <v>88</v>
      </c>
      <c r="D126">
        <v>25</v>
      </c>
      <c r="E126">
        <v>0</v>
      </c>
      <c r="F126">
        <v>1387.05</v>
      </c>
    </row>
    <row r="127" spans="1:6" hidden="1" x14ac:dyDescent="0.3">
      <c r="A127" s="1">
        <v>46146</v>
      </c>
      <c r="B127" t="s">
        <v>46</v>
      </c>
      <c r="C127" t="s">
        <v>127</v>
      </c>
      <c r="D127">
        <v>25</v>
      </c>
      <c r="E127">
        <v>1387.05</v>
      </c>
      <c r="F127">
        <v>0</v>
      </c>
    </row>
    <row r="128" spans="1:6" x14ac:dyDescent="0.3">
      <c r="A128" s="1">
        <v>46146</v>
      </c>
      <c r="B128" t="s">
        <v>43</v>
      </c>
      <c r="C128" t="s">
        <v>92</v>
      </c>
      <c r="D128">
        <v>24</v>
      </c>
      <c r="E128">
        <v>0</v>
      </c>
      <c r="F128">
        <v>1387.05</v>
      </c>
    </row>
    <row r="129" spans="1:6" x14ac:dyDescent="0.3">
      <c r="A129" s="1">
        <v>46146</v>
      </c>
      <c r="B129" t="s">
        <v>43</v>
      </c>
      <c r="C129" t="s">
        <v>68</v>
      </c>
      <c r="D129">
        <v>174</v>
      </c>
      <c r="E129">
        <v>0</v>
      </c>
      <c r="F129">
        <v>1387.05</v>
      </c>
    </row>
    <row r="130" spans="1:6" hidden="1" x14ac:dyDescent="0.3">
      <c r="A130" s="1">
        <v>46146</v>
      </c>
      <c r="B130" t="s">
        <v>46</v>
      </c>
      <c r="C130" t="s">
        <v>128</v>
      </c>
      <c r="D130">
        <v>24</v>
      </c>
      <c r="E130">
        <v>1387.05</v>
      </c>
      <c r="F130">
        <v>0</v>
      </c>
    </row>
    <row r="131" spans="1:6" x14ac:dyDescent="0.3">
      <c r="A131" s="1">
        <v>46146</v>
      </c>
      <c r="B131" t="s">
        <v>43</v>
      </c>
      <c r="C131" t="s">
        <v>108</v>
      </c>
      <c r="D131">
        <v>173</v>
      </c>
      <c r="E131">
        <v>0</v>
      </c>
      <c r="F131">
        <v>1387.05</v>
      </c>
    </row>
    <row r="132" spans="1:6" hidden="1" x14ac:dyDescent="0.3">
      <c r="A132" s="1">
        <v>46146</v>
      </c>
      <c r="B132" t="s">
        <v>46</v>
      </c>
      <c r="C132" t="s">
        <v>129</v>
      </c>
      <c r="D132">
        <v>173</v>
      </c>
      <c r="E132">
        <v>1387.05</v>
      </c>
      <c r="F132">
        <v>0</v>
      </c>
    </row>
    <row r="133" spans="1:6" x14ac:dyDescent="0.3">
      <c r="A133" s="1">
        <v>46146</v>
      </c>
      <c r="B133" t="s">
        <v>43</v>
      </c>
      <c r="C133" t="s">
        <v>82</v>
      </c>
      <c r="D133">
        <v>59</v>
      </c>
      <c r="E133">
        <v>0</v>
      </c>
      <c r="F133">
        <v>1387.05</v>
      </c>
    </row>
    <row r="134" spans="1:6" x14ac:dyDescent="0.3">
      <c r="A134" s="1">
        <v>46146</v>
      </c>
      <c r="B134" t="s">
        <v>43</v>
      </c>
      <c r="C134" t="s">
        <v>100</v>
      </c>
      <c r="D134">
        <v>114</v>
      </c>
      <c r="E134">
        <v>0</v>
      </c>
      <c r="F134">
        <v>1387.05</v>
      </c>
    </row>
    <row r="135" spans="1:6" hidden="1" x14ac:dyDescent="0.3">
      <c r="A135" s="1">
        <v>46146</v>
      </c>
      <c r="B135" t="s">
        <v>46</v>
      </c>
      <c r="C135" t="s">
        <v>130</v>
      </c>
      <c r="D135">
        <v>114</v>
      </c>
      <c r="E135">
        <v>1387.05</v>
      </c>
      <c r="F135">
        <v>0</v>
      </c>
    </row>
    <row r="136" spans="1:6" x14ac:dyDescent="0.3">
      <c r="A136" s="1">
        <v>46146</v>
      </c>
      <c r="B136" t="s">
        <v>43</v>
      </c>
      <c r="C136" t="s">
        <v>62</v>
      </c>
      <c r="D136">
        <v>177</v>
      </c>
      <c r="E136">
        <v>0</v>
      </c>
      <c r="F136">
        <v>1387.05</v>
      </c>
    </row>
    <row r="137" spans="1:6" hidden="1" x14ac:dyDescent="0.3">
      <c r="A137" s="1">
        <v>46146</v>
      </c>
      <c r="B137" t="s">
        <v>46</v>
      </c>
      <c r="C137" t="s">
        <v>131</v>
      </c>
      <c r="D137">
        <v>177</v>
      </c>
      <c r="E137">
        <v>1387.05</v>
      </c>
      <c r="F137">
        <v>0</v>
      </c>
    </row>
    <row r="138" spans="1:6" x14ac:dyDescent="0.3">
      <c r="A138" s="1">
        <v>46146</v>
      </c>
      <c r="B138" t="s">
        <v>43</v>
      </c>
      <c r="C138" t="s">
        <v>52</v>
      </c>
      <c r="D138">
        <v>171</v>
      </c>
      <c r="E138">
        <v>0</v>
      </c>
      <c r="F138">
        <v>1387.05</v>
      </c>
    </row>
    <row r="139" spans="1:6" hidden="1" x14ac:dyDescent="0.3">
      <c r="A139" s="1">
        <v>46146</v>
      </c>
      <c r="B139" t="s">
        <v>46</v>
      </c>
      <c r="C139" t="s">
        <v>132</v>
      </c>
      <c r="D139">
        <v>171</v>
      </c>
      <c r="E139">
        <v>1387.05</v>
      </c>
      <c r="F139">
        <v>0</v>
      </c>
    </row>
    <row r="140" spans="1:6" x14ac:dyDescent="0.3">
      <c r="A140" s="1">
        <v>46146</v>
      </c>
      <c r="B140" t="s">
        <v>43</v>
      </c>
      <c r="C140" t="s">
        <v>98</v>
      </c>
      <c r="D140">
        <v>361</v>
      </c>
      <c r="E140">
        <v>0</v>
      </c>
      <c r="F140">
        <v>1387.05</v>
      </c>
    </row>
    <row r="141" spans="1:6" hidden="1" x14ac:dyDescent="0.3">
      <c r="A141" s="1">
        <v>46146</v>
      </c>
      <c r="B141" t="s">
        <v>46</v>
      </c>
      <c r="C141" t="s">
        <v>133</v>
      </c>
      <c r="D141">
        <v>361</v>
      </c>
      <c r="E141">
        <v>1387.05</v>
      </c>
      <c r="F141">
        <v>0</v>
      </c>
    </row>
    <row r="142" spans="1:6" x14ac:dyDescent="0.3">
      <c r="A142" s="1">
        <v>46146</v>
      </c>
      <c r="B142" t="s">
        <v>43</v>
      </c>
      <c r="C142" t="s">
        <v>94</v>
      </c>
      <c r="D142">
        <v>169</v>
      </c>
      <c r="E142">
        <v>0</v>
      </c>
      <c r="F142">
        <v>1387.05</v>
      </c>
    </row>
    <row r="143" spans="1:6" hidden="1" x14ac:dyDescent="0.3">
      <c r="A143" s="1">
        <v>46146</v>
      </c>
      <c r="B143" t="s">
        <v>46</v>
      </c>
      <c r="C143" t="s">
        <v>134</v>
      </c>
      <c r="D143">
        <v>169</v>
      </c>
      <c r="E143">
        <v>1387.05</v>
      </c>
      <c r="F143">
        <v>0</v>
      </c>
    </row>
    <row r="144" spans="1:6" x14ac:dyDescent="0.3">
      <c r="A144" s="1">
        <v>46146</v>
      </c>
      <c r="B144" t="s">
        <v>43</v>
      </c>
      <c r="C144" t="s">
        <v>56</v>
      </c>
      <c r="D144">
        <v>129</v>
      </c>
      <c r="E144">
        <v>0</v>
      </c>
      <c r="F144">
        <v>1387.05</v>
      </c>
    </row>
    <row r="145" spans="1:6" hidden="1" x14ac:dyDescent="0.3">
      <c r="A145" s="1">
        <v>46146</v>
      </c>
      <c r="B145" t="s">
        <v>46</v>
      </c>
      <c r="C145" t="s">
        <v>135</v>
      </c>
      <c r="D145">
        <v>129</v>
      </c>
      <c r="E145">
        <v>1387.05</v>
      </c>
      <c r="F145">
        <v>0</v>
      </c>
    </row>
    <row r="146" spans="1:6" x14ac:dyDescent="0.3">
      <c r="A146" s="1">
        <v>46146</v>
      </c>
      <c r="B146" t="s">
        <v>43</v>
      </c>
      <c r="C146" t="s">
        <v>50</v>
      </c>
      <c r="D146">
        <v>179</v>
      </c>
      <c r="E146">
        <v>0</v>
      </c>
      <c r="F146">
        <v>1387.05</v>
      </c>
    </row>
    <row r="147" spans="1:6" hidden="1" x14ac:dyDescent="0.3">
      <c r="A147" s="1">
        <v>46146</v>
      </c>
      <c r="B147" t="s">
        <v>46</v>
      </c>
      <c r="C147" t="s">
        <v>136</v>
      </c>
      <c r="D147">
        <v>179</v>
      </c>
      <c r="E147">
        <v>1387.05</v>
      </c>
      <c r="F147">
        <v>0</v>
      </c>
    </row>
    <row r="148" spans="1:6" x14ac:dyDescent="0.3">
      <c r="A148" s="1">
        <v>46146</v>
      </c>
      <c r="B148" t="s">
        <v>43</v>
      </c>
      <c r="C148" t="s">
        <v>64</v>
      </c>
      <c r="D148">
        <v>197</v>
      </c>
      <c r="E148">
        <v>0</v>
      </c>
      <c r="F148">
        <v>1387.05</v>
      </c>
    </row>
    <row r="149" spans="1:6" hidden="1" x14ac:dyDescent="0.3">
      <c r="A149" s="1">
        <v>46146</v>
      </c>
      <c r="B149" t="s">
        <v>46</v>
      </c>
      <c r="C149" t="s">
        <v>137</v>
      </c>
      <c r="D149">
        <v>197</v>
      </c>
      <c r="E149">
        <v>1387.05</v>
      </c>
      <c r="F149">
        <v>0</v>
      </c>
    </row>
    <row r="150" spans="1:6" x14ac:dyDescent="0.3">
      <c r="A150" s="1">
        <v>46146</v>
      </c>
      <c r="B150" t="s">
        <v>43</v>
      </c>
      <c r="C150" t="s">
        <v>104</v>
      </c>
      <c r="D150">
        <v>50</v>
      </c>
      <c r="E150">
        <v>0</v>
      </c>
      <c r="F150">
        <v>1387.05</v>
      </c>
    </row>
    <row r="151" spans="1:6" hidden="1" x14ac:dyDescent="0.3">
      <c r="A151" s="1">
        <v>46146</v>
      </c>
      <c r="B151" t="s">
        <v>46</v>
      </c>
      <c r="C151" t="s">
        <v>138</v>
      </c>
      <c r="D151">
        <v>50</v>
      </c>
      <c r="E151">
        <v>1387.05</v>
      </c>
      <c r="F151">
        <v>0</v>
      </c>
    </row>
    <row r="152" spans="1:6" x14ac:dyDescent="0.3">
      <c r="A152" s="1">
        <v>46146</v>
      </c>
      <c r="B152" t="s">
        <v>43</v>
      </c>
      <c r="C152" t="s">
        <v>114</v>
      </c>
      <c r="D152">
        <v>22</v>
      </c>
      <c r="E152">
        <v>0</v>
      </c>
      <c r="F152">
        <v>1387.05</v>
      </c>
    </row>
    <row r="153" spans="1:6" hidden="1" x14ac:dyDescent="0.3">
      <c r="A153" s="1">
        <v>46146</v>
      </c>
      <c r="B153" t="s">
        <v>46</v>
      </c>
      <c r="C153" t="s">
        <v>139</v>
      </c>
      <c r="D153">
        <v>22</v>
      </c>
      <c r="E153">
        <v>1387.05</v>
      </c>
      <c r="F153">
        <v>0</v>
      </c>
    </row>
    <row r="154" spans="1:6" x14ac:dyDescent="0.3">
      <c r="A154" s="1">
        <v>46146</v>
      </c>
      <c r="B154" t="s">
        <v>43</v>
      </c>
      <c r="C154" t="s">
        <v>96</v>
      </c>
      <c r="D154">
        <v>23</v>
      </c>
      <c r="E154">
        <v>0</v>
      </c>
      <c r="F154">
        <v>1387.05</v>
      </c>
    </row>
    <row r="155" spans="1:6" hidden="1" x14ac:dyDescent="0.3">
      <c r="A155" s="1">
        <v>46146</v>
      </c>
      <c r="B155" t="s">
        <v>46</v>
      </c>
      <c r="C155" t="s">
        <v>140</v>
      </c>
      <c r="D155">
        <v>23</v>
      </c>
      <c r="E155">
        <v>1387.05</v>
      </c>
      <c r="F155">
        <v>0</v>
      </c>
    </row>
    <row r="156" spans="1:6" x14ac:dyDescent="0.3">
      <c r="A156" s="1">
        <v>46146</v>
      </c>
      <c r="B156" t="s">
        <v>43</v>
      </c>
      <c r="C156" t="s">
        <v>102</v>
      </c>
      <c r="D156">
        <v>52</v>
      </c>
      <c r="E156">
        <v>0</v>
      </c>
      <c r="F156">
        <v>1387.05</v>
      </c>
    </row>
    <row r="157" spans="1:6" x14ac:dyDescent="0.3">
      <c r="A157" s="1">
        <v>46146</v>
      </c>
      <c r="B157" t="s">
        <v>43</v>
      </c>
      <c r="C157" t="s">
        <v>90</v>
      </c>
      <c r="D157">
        <v>344</v>
      </c>
      <c r="E157">
        <v>0</v>
      </c>
      <c r="F157">
        <v>1387.05</v>
      </c>
    </row>
    <row r="158" spans="1:6" hidden="1" x14ac:dyDescent="0.3">
      <c r="A158" s="1">
        <v>46146</v>
      </c>
      <c r="B158" t="s">
        <v>46</v>
      </c>
      <c r="C158" t="s">
        <v>141</v>
      </c>
      <c r="D158">
        <v>59</v>
      </c>
      <c r="E158">
        <v>1387.05</v>
      </c>
      <c r="F158">
        <v>0</v>
      </c>
    </row>
    <row r="159" spans="1:6" x14ac:dyDescent="0.3">
      <c r="A159" s="1">
        <v>46146</v>
      </c>
      <c r="B159" t="s">
        <v>43</v>
      </c>
      <c r="C159" t="s">
        <v>80</v>
      </c>
      <c r="D159">
        <v>66</v>
      </c>
      <c r="E159">
        <v>0</v>
      </c>
      <c r="F159">
        <v>1387.05</v>
      </c>
    </row>
    <row r="160" spans="1:6" hidden="1" x14ac:dyDescent="0.3">
      <c r="A160" s="1">
        <v>46146</v>
      </c>
      <c r="B160" t="s">
        <v>46</v>
      </c>
      <c r="C160" t="s">
        <v>142</v>
      </c>
      <c r="D160">
        <v>66</v>
      </c>
      <c r="E160">
        <v>1387.05</v>
      </c>
      <c r="F160">
        <v>0</v>
      </c>
    </row>
    <row r="161" spans="1:6" x14ac:dyDescent="0.3">
      <c r="A161" s="1">
        <v>46146</v>
      </c>
      <c r="B161" t="s">
        <v>43</v>
      </c>
      <c r="C161" t="s">
        <v>76</v>
      </c>
      <c r="D161">
        <v>91</v>
      </c>
      <c r="E161">
        <v>0</v>
      </c>
      <c r="F161">
        <v>1387.05</v>
      </c>
    </row>
    <row r="162" spans="1:6" hidden="1" x14ac:dyDescent="0.3">
      <c r="A162" s="1">
        <v>46146</v>
      </c>
      <c r="B162" t="s">
        <v>46</v>
      </c>
      <c r="C162" t="s">
        <v>143</v>
      </c>
      <c r="D162">
        <v>91</v>
      </c>
      <c r="E162">
        <v>1387.05</v>
      </c>
      <c r="F162">
        <v>0</v>
      </c>
    </row>
    <row r="163" spans="1:6" x14ac:dyDescent="0.3">
      <c r="A163" s="1">
        <v>46146</v>
      </c>
      <c r="B163" t="s">
        <v>43</v>
      </c>
      <c r="C163" t="s">
        <v>78</v>
      </c>
      <c r="D163">
        <v>28</v>
      </c>
      <c r="E163">
        <v>0</v>
      </c>
      <c r="F163">
        <v>1387.05</v>
      </c>
    </row>
    <row r="164" spans="1:6" hidden="1" x14ac:dyDescent="0.3">
      <c r="A164" s="1">
        <v>46146</v>
      </c>
      <c r="B164" t="s">
        <v>46</v>
      </c>
      <c r="C164" t="s">
        <v>144</v>
      </c>
      <c r="D164">
        <v>28</v>
      </c>
      <c r="E164">
        <v>1387.05</v>
      </c>
      <c r="F164">
        <v>0</v>
      </c>
    </row>
    <row r="165" spans="1:6" x14ac:dyDescent="0.3">
      <c r="A165" s="1">
        <v>46146</v>
      </c>
      <c r="B165" t="s">
        <v>43</v>
      </c>
      <c r="C165" t="s">
        <v>66</v>
      </c>
      <c r="D165">
        <v>198</v>
      </c>
      <c r="E165">
        <v>0</v>
      </c>
      <c r="F165">
        <v>1387.05</v>
      </c>
    </row>
    <row r="166" spans="1:6" hidden="1" x14ac:dyDescent="0.3">
      <c r="A166" s="1">
        <v>46146</v>
      </c>
      <c r="B166" t="s">
        <v>46</v>
      </c>
      <c r="C166" t="s">
        <v>145</v>
      </c>
      <c r="D166">
        <v>198</v>
      </c>
      <c r="E166">
        <v>1387.05</v>
      </c>
      <c r="F166">
        <v>0</v>
      </c>
    </row>
    <row r="167" spans="1:6" x14ac:dyDescent="0.3">
      <c r="A167" s="1">
        <v>46146</v>
      </c>
      <c r="B167" t="s">
        <v>43</v>
      </c>
      <c r="C167" t="s">
        <v>72</v>
      </c>
      <c r="D167">
        <v>99</v>
      </c>
      <c r="E167">
        <v>0</v>
      </c>
      <c r="F167">
        <v>1387.05</v>
      </c>
    </row>
    <row r="168" spans="1:6" hidden="1" x14ac:dyDescent="0.3">
      <c r="A168" s="1">
        <v>46146</v>
      </c>
      <c r="B168" t="s">
        <v>46</v>
      </c>
      <c r="C168" t="s">
        <v>146</v>
      </c>
      <c r="D168">
        <v>99</v>
      </c>
      <c r="E168">
        <v>1387.05</v>
      </c>
      <c r="F168">
        <v>0</v>
      </c>
    </row>
    <row r="169" spans="1:6" hidden="1" x14ac:dyDescent="0.3">
      <c r="A169" s="1">
        <v>46146</v>
      </c>
      <c r="B169" t="s">
        <v>46</v>
      </c>
      <c r="C169" t="s">
        <v>147</v>
      </c>
      <c r="D169">
        <v>174</v>
      </c>
      <c r="E169">
        <v>1387.05</v>
      </c>
      <c r="F169">
        <v>0</v>
      </c>
    </row>
    <row r="170" spans="1:6" x14ac:dyDescent="0.3">
      <c r="A170" s="1">
        <v>46146</v>
      </c>
      <c r="B170" t="s">
        <v>43</v>
      </c>
      <c r="C170" t="s">
        <v>112</v>
      </c>
      <c r="D170">
        <v>364</v>
      </c>
      <c r="E170">
        <v>0</v>
      </c>
      <c r="F170">
        <v>1387.05</v>
      </c>
    </row>
    <row r="171" spans="1:6" hidden="1" x14ac:dyDescent="0.3">
      <c r="A171" s="1">
        <v>46146</v>
      </c>
      <c r="B171" t="s">
        <v>46</v>
      </c>
      <c r="C171" t="s">
        <v>148</v>
      </c>
      <c r="D171">
        <v>364</v>
      </c>
      <c r="E171">
        <v>1387.05</v>
      </c>
      <c r="F171">
        <v>0</v>
      </c>
    </row>
    <row r="172" spans="1:6" x14ac:dyDescent="0.3">
      <c r="A172" s="1">
        <v>46146</v>
      </c>
      <c r="B172" t="s">
        <v>43</v>
      </c>
      <c r="C172" t="s">
        <v>70</v>
      </c>
      <c r="D172">
        <v>7</v>
      </c>
      <c r="E172">
        <v>0</v>
      </c>
      <c r="F172">
        <v>1387.05</v>
      </c>
    </row>
    <row r="173" spans="1:6" hidden="1" x14ac:dyDescent="0.3">
      <c r="A173" s="1">
        <v>46146</v>
      </c>
      <c r="B173" t="s">
        <v>46</v>
      </c>
      <c r="C173" t="s">
        <v>149</v>
      </c>
      <c r="D173">
        <v>7</v>
      </c>
      <c r="E173">
        <v>1387.05</v>
      </c>
      <c r="F173">
        <v>0</v>
      </c>
    </row>
    <row r="174" spans="1:6" x14ac:dyDescent="0.3">
      <c r="A174" s="1">
        <v>46146</v>
      </c>
      <c r="B174" t="s">
        <v>43</v>
      </c>
      <c r="C174" t="s">
        <v>86</v>
      </c>
      <c r="D174">
        <v>199</v>
      </c>
      <c r="E174">
        <v>0</v>
      </c>
      <c r="F174">
        <v>1387.05</v>
      </c>
    </row>
    <row r="175" spans="1:6" x14ac:dyDescent="0.3">
      <c r="A175" s="1">
        <v>46146</v>
      </c>
      <c r="B175" t="s">
        <v>43</v>
      </c>
      <c r="C175" t="s">
        <v>58</v>
      </c>
      <c r="D175">
        <v>170</v>
      </c>
      <c r="E175">
        <v>0</v>
      </c>
      <c r="F175">
        <v>1387.05</v>
      </c>
    </row>
    <row r="176" spans="1:6" hidden="1" x14ac:dyDescent="0.3">
      <c r="A176" s="1">
        <v>46146</v>
      </c>
      <c r="B176" t="s">
        <v>46</v>
      </c>
      <c r="C176" t="s">
        <v>150</v>
      </c>
      <c r="D176">
        <v>199</v>
      </c>
      <c r="E176">
        <v>1387.05</v>
      </c>
      <c r="F176">
        <v>0</v>
      </c>
    </row>
    <row r="177" spans="1:6" hidden="1" x14ac:dyDescent="0.3">
      <c r="A177" s="1">
        <v>46146</v>
      </c>
      <c r="B177" t="s">
        <v>46</v>
      </c>
      <c r="C177" t="s">
        <v>151</v>
      </c>
      <c r="D177">
        <v>170</v>
      </c>
      <c r="E177">
        <v>1387.05</v>
      </c>
      <c r="F177">
        <v>0</v>
      </c>
    </row>
    <row r="178" spans="1:6" x14ac:dyDescent="0.3">
      <c r="A178" s="1">
        <v>46146</v>
      </c>
      <c r="B178" t="s">
        <v>43</v>
      </c>
      <c r="C178" t="s">
        <v>116</v>
      </c>
      <c r="D178">
        <v>363</v>
      </c>
      <c r="E178">
        <v>0</v>
      </c>
      <c r="F178">
        <v>1387.05</v>
      </c>
    </row>
    <row r="179" spans="1:6" hidden="1" x14ac:dyDescent="0.3">
      <c r="A179" s="1">
        <v>46146</v>
      </c>
      <c r="B179" t="s">
        <v>46</v>
      </c>
      <c r="C179" t="s">
        <v>152</v>
      </c>
      <c r="D179">
        <v>363</v>
      </c>
      <c r="E179">
        <v>1387.05</v>
      </c>
      <c r="F179">
        <v>0</v>
      </c>
    </row>
    <row r="180" spans="1:6" x14ac:dyDescent="0.3">
      <c r="A180" s="1">
        <v>46146</v>
      </c>
      <c r="B180" t="s">
        <v>43</v>
      </c>
      <c r="C180" t="s">
        <v>118</v>
      </c>
      <c r="D180">
        <v>172</v>
      </c>
      <c r="E180">
        <v>0</v>
      </c>
      <c r="F180">
        <v>1387.05</v>
      </c>
    </row>
    <row r="181" spans="1:6" hidden="1" x14ac:dyDescent="0.3">
      <c r="A181" s="1">
        <v>46146</v>
      </c>
      <c r="B181" t="s">
        <v>46</v>
      </c>
      <c r="C181" t="s">
        <v>153</v>
      </c>
      <c r="D181">
        <v>172</v>
      </c>
      <c r="E181">
        <v>1387.05</v>
      </c>
      <c r="F181">
        <v>0</v>
      </c>
    </row>
    <row r="182" spans="1:6" x14ac:dyDescent="0.3">
      <c r="A182" s="1">
        <v>46146</v>
      </c>
      <c r="B182" t="s">
        <v>43</v>
      </c>
      <c r="C182" t="s">
        <v>60</v>
      </c>
      <c r="D182">
        <v>175</v>
      </c>
      <c r="E182">
        <v>0</v>
      </c>
      <c r="F182">
        <v>1387.05</v>
      </c>
    </row>
    <row r="183" spans="1:6" hidden="1" x14ac:dyDescent="0.3">
      <c r="A183" s="1">
        <v>46146</v>
      </c>
      <c r="B183" t="s">
        <v>46</v>
      </c>
      <c r="C183" t="s">
        <v>154</v>
      </c>
      <c r="D183">
        <v>175</v>
      </c>
      <c r="E183">
        <v>1387.05</v>
      </c>
      <c r="F183">
        <v>0</v>
      </c>
    </row>
    <row r="184" spans="1:6" x14ac:dyDescent="0.3">
      <c r="A184" s="1">
        <v>46146</v>
      </c>
      <c r="B184" t="s">
        <v>43</v>
      </c>
      <c r="C184" t="s">
        <v>110</v>
      </c>
      <c r="D184">
        <v>47</v>
      </c>
      <c r="E184">
        <v>0</v>
      </c>
      <c r="F184">
        <v>1387.05</v>
      </c>
    </row>
    <row r="185" spans="1:6" hidden="1" x14ac:dyDescent="0.3">
      <c r="A185" s="1">
        <v>46146</v>
      </c>
      <c r="B185" t="s">
        <v>46</v>
      </c>
      <c r="C185" t="s">
        <v>155</v>
      </c>
      <c r="D185">
        <v>200</v>
      </c>
      <c r="E185">
        <v>1387.05</v>
      </c>
      <c r="F185">
        <v>0</v>
      </c>
    </row>
    <row r="186" spans="1:6" x14ac:dyDescent="0.3">
      <c r="A186" s="1">
        <v>46146</v>
      </c>
      <c r="B186" t="s">
        <v>43</v>
      </c>
      <c r="C186" t="s">
        <v>120</v>
      </c>
      <c r="D186">
        <v>200</v>
      </c>
      <c r="E186">
        <v>0</v>
      </c>
      <c r="F186">
        <v>1387.05</v>
      </c>
    </row>
    <row r="187" spans="1:6" hidden="1" x14ac:dyDescent="0.3">
      <c r="A187" s="1">
        <v>46146</v>
      </c>
      <c r="B187" t="s">
        <v>46</v>
      </c>
      <c r="C187" t="s">
        <v>156</v>
      </c>
      <c r="D187">
        <v>47</v>
      </c>
      <c r="E187">
        <v>1387.05</v>
      </c>
      <c r="F187">
        <v>0</v>
      </c>
    </row>
    <row r="188" spans="1:6" x14ac:dyDescent="0.3">
      <c r="A188" s="1">
        <v>46146</v>
      </c>
      <c r="B188" t="s">
        <v>43</v>
      </c>
      <c r="C188" t="s">
        <v>106</v>
      </c>
      <c r="D188">
        <v>49</v>
      </c>
      <c r="E188">
        <v>0</v>
      </c>
      <c r="F188">
        <v>1387.05</v>
      </c>
    </row>
    <row r="189" spans="1:6" hidden="1" x14ac:dyDescent="0.3">
      <c r="A189" s="1">
        <v>46146</v>
      </c>
      <c r="B189" t="s">
        <v>46</v>
      </c>
      <c r="C189" t="s">
        <v>157</v>
      </c>
      <c r="D189">
        <v>49</v>
      </c>
      <c r="E189">
        <v>1387.05</v>
      </c>
      <c r="F189">
        <v>0</v>
      </c>
    </row>
    <row r="190" spans="1:6" x14ac:dyDescent="0.3">
      <c r="A190" s="1">
        <v>46146</v>
      </c>
      <c r="B190" t="s">
        <v>43</v>
      </c>
      <c r="C190" t="s">
        <v>54</v>
      </c>
      <c r="D190">
        <v>176</v>
      </c>
      <c r="E190">
        <v>0</v>
      </c>
      <c r="F190">
        <v>1387.05</v>
      </c>
    </row>
    <row r="191" spans="1:6" hidden="1" x14ac:dyDescent="0.3">
      <c r="A191" s="1">
        <v>46146</v>
      </c>
      <c r="B191" t="s">
        <v>46</v>
      </c>
      <c r="C191" t="s">
        <v>158</v>
      </c>
      <c r="D191">
        <v>176</v>
      </c>
      <c r="E191">
        <v>1387.05</v>
      </c>
      <c r="F191">
        <v>0</v>
      </c>
    </row>
    <row r="192" spans="1:6" hidden="1" x14ac:dyDescent="0.3">
      <c r="A192" s="1">
        <v>46150</v>
      </c>
      <c r="B192" t="s">
        <v>46</v>
      </c>
      <c r="C192" t="s">
        <v>48</v>
      </c>
      <c r="E192">
        <v>25852</v>
      </c>
      <c r="F192">
        <v>0</v>
      </c>
    </row>
    <row r="193" spans="1:6" x14ac:dyDescent="0.3">
      <c r="A193" s="1">
        <v>46150</v>
      </c>
      <c r="B193" t="s">
        <v>43</v>
      </c>
      <c r="C193" t="s">
        <v>48</v>
      </c>
      <c r="E193">
        <v>0</v>
      </c>
      <c r="F193">
        <v>25852</v>
      </c>
    </row>
    <row r="194" spans="1:6" x14ac:dyDescent="0.3">
      <c r="A194" s="1">
        <v>46153</v>
      </c>
      <c r="B194" t="s">
        <v>43</v>
      </c>
      <c r="C194" t="s">
        <v>47</v>
      </c>
      <c r="E194">
        <v>0</v>
      </c>
      <c r="F194">
        <v>17972</v>
      </c>
    </row>
    <row r="195" spans="1:6" hidden="1" x14ac:dyDescent="0.3">
      <c r="A195" s="1">
        <v>46153</v>
      </c>
      <c r="B195" t="s">
        <v>46</v>
      </c>
      <c r="C195" t="s">
        <v>47</v>
      </c>
      <c r="E195">
        <v>17972</v>
      </c>
      <c r="F195">
        <v>0</v>
      </c>
    </row>
    <row r="196" spans="1:6" hidden="1" x14ac:dyDescent="0.3">
      <c r="A196" s="1">
        <v>46160</v>
      </c>
      <c r="B196" t="s">
        <v>46</v>
      </c>
      <c r="C196" t="s">
        <v>49</v>
      </c>
      <c r="E196">
        <v>9680</v>
      </c>
      <c r="F196">
        <v>0</v>
      </c>
    </row>
    <row r="197" spans="1:6" x14ac:dyDescent="0.3">
      <c r="A197" s="1">
        <v>46160</v>
      </c>
      <c r="B197" t="s">
        <v>43</v>
      </c>
      <c r="C197" t="s">
        <v>123</v>
      </c>
      <c r="E197">
        <v>0</v>
      </c>
      <c r="F197">
        <v>16000</v>
      </c>
    </row>
    <row r="198" spans="1:6" hidden="1" x14ac:dyDescent="0.3">
      <c r="A198" s="1">
        <v>46160</v>
      </c>
      <c r="B198" t="s">
        <v>46</v>
      </c>
      <c r="C198" t="s">
        <v>123</v>
      </c>
      <c r="E198">
        <v>16000</v>
      </c>
      <c r="F198">
        <v>0</v>
      </c>
    </row>
    <row r="199" spans="1:6" x14ac:dyDescent="0.3">
      <c r="A199" s="1">
        <v>46160</v>
      </c>
      <c r="B199" t="s">
        <v>43</v>
      </c>
      <c r="C199" t="s">
        <v>49</v>
      </c>
      <c r="E199">
        <v>0</v>
      </c>
      <c r="F199">
        <v>9680</v>
      </c>
    </row>
    <row r="200" spans="1:6" x14ac:dyDescent="0.3">
      <c r="A200" s="1">
        <v>46163</v>
      </c>
      <c r="B200" t="s">
        <v>43</v>
      </c>
      <c r="C200" t="s">
        <v>159</v>
      </c>
      <c r="D200">
        <v>199</v>
      </c>
      <c r="E200">
        <v>16896</v>
      </c>
      <c r="F200">
        <v>0</v>
      </c>
    </row>
    <row r="201" spans="1:6" hidden="1" x14ac:dyDescent="0.3">
      <c r="A201" s="1">
        <v>46163</v>
      </c>
      <c r="B201" t="s">
        <v>160</v>
      </c>
      <c r="C201" t="s">
        <v>161</v>
      </c>
      <c r="D201">
        <v>171</v>
      </c>
      <c r="E201">
        <v>0</v>
      </c>
      <c r="F201">
        <v>16800</v>
      </c>
    </row>
    <row r="202" spans="1:6" x14ac:dyDescent="0.3">
      <c r="A202" s="1">
        <v>46163</v>
      </c>
      <c r="B202" t="s">
        <v>43</v>
      </c>
      <c r="C202" t="s">
        <v>161</v>
      </c>
      <c r="D202">
        <v>171</v>
      </c>
      <c r="E202">
        <v>16800</v>
      </c>
      <c r="F202">
        <v>0</v>
      </c>
    </row>
    <row r="203" spans="1:6" hidden="1" x14ac:dyDescent="0.3">
      <c r="A203" s="1">
        <v>46163</v>
      </c>
      <c r="B203" t="s">
        <v>46</v>
      </c>
      <c r="C203" t="s">
        <v>162</v>
      </c>
      <c r="D203">
        <v>199</v>
      </c>
      <c r="E203">
        <v>786</v>
      </c>
      <c r="F203">
        <v>0</v>
      </c>
    </row>
    <row r="204" spans="1:6" hidden="1" x14ac:dyDescent="0.3">
      <c r="A204" s="1">
        <v>46163</v>
      </c>
      <c r="B204" t="s">
        <v>160</v>
      </c>
      <c r="C204" t="s">
        <v>159</v>
      </c>
      <c r="D204">
        <v>199</v>
      </c>
      <c r="E204">
        <v>0</v>
      </c>
      <c r="F204">
        <v>16896</v>
      </c>
    </row>
    <row r="205" spans="1:6" x14ac:dyDescent="0.3">
      <c r="A205" s="1">
        <v>46163</v>
      </c>
      <c r="B205" t="s">
        <v>43</v>
      </c>
      <c r="C205" t="s">
        <v>52</v>
      </c>
      <c r="D205">
        <v>171</v>
      </c>
      <c r="E205">
        <v>0</v>
      </c>
      <c r="F205">
        <v>786</v>
      </c>
    </row>
    <row r="206" spans="1:6" x14ac:dyDescent="0.3">
      <c r="A206" s="1">
        <v>46163</v>
      </c>
      <c r="B206" t="s">
        <v>43</v>
      </c>
      <c r="C206" t="s">
        <v>86</v>
      </c>
      <c r="D206">
        <v>199</v>
      </c>
      <c r="E206">
        <v>0</v>
      </c>
      <c r="F206">
        <v>786</v>
      </c>
    </row>
    <row r="207" spans="1:6" hidden="1" x14ac:dyDescent="0.3">
      <c r="A207" s="1">
        <v>46163</v>
      </c>
      <c r="B207" t="s">
        <v>46</v>
      </c>
      <c r="C207" t="s">
        <v>163</v>
      </c>
      <c r="D207">
        <v>171</v>
      </c>
      <c r="E207">
        <v>786</v>
      </c>
      <c r="F207">
        <v>0</v>
      </c>
    </row>
    <row r="208" spans="1:6" hidden="1" x14ac:dyDescent="0.3">
      <c r="A208" s="1">
        <v>46164</v>
      </c>
      <c r="B208" t="s">
        <v>46</v>
      </c>
      <c r="C208" t="s">
        <v>164</v>
      </c>
      <c r="D208">
        <v>91</v>
      </c>
      <c r="E208">
        <v>832.23</v>
      </c>
      <c r="F208">
        <v>0</v>
      </c>
    </row>
    <row r="209" spans="1:6" x14ac:dyDescent="0.3">
      <c r="A209" s="1">
        <v>46164</v>
      </c>
      <c r="B209" t="s">
        <v>43</v>
      </c>
      <c r="C209" t="s">
        <v>165</v>
      </c>
      <c r="D209">
        <v>66</v>
      </c>
      <c r="E209">
        <v>16000</v>
      </c>
      <c r="F209">
        <v>0</v>
      </c>
    </row>
    <row r="210" spans="1:6" hidden="1" x14ac:dyDescent="0.3">
      <c r="A210" s="1">
        <v>46164</v>
      </c>
      <c r="B210" t="s">
        <v>160</v>
      </c>
      <c r="C210" t="s">
        <v>166</v>
      </c>
      <c r="D210">
        <v>91</v>
      </c>
      <c r="E210">
        <v>0</v>
      </c>
      <c r="F210">
        <v>16960</v>
      </c>
    </row>
    <row r="211" spans="1:6" x14ac:dyDescent="0.3">
      <c r="A211" s="1">
        <v>46164</v>
      </c>
      <c r="B211" t="s">
        <v>43</v>
      </c>
      <c r="C211" t="s">
        <v>166</v>
      </c>
      <c r="D211">
        <v>91</v>
      </c>
      <c r="E211">
        <v>16960</v>
      </c>
      <c r="F211">
        <v>0</v>
      </c>
    </row>
    <row r="212" spans="1:6" hidden="1" x14ac:dyDescent="0.3">
      <c r="A212" s="1">
        <v>46164</v>
      </c>
      <c r="B212" t="s">
        <v>160</v>
      </c>
      <c r="C212" t="s">
        <v>165</v>
      </c>
      <c r="D212">
        <v>66</v>
      </c>
      <c r="E212">
        <v>0</v>
      </c>
      <c r="F212">
        <v>16000</v>
      </c>
    </row>
    <row r="213" spans="1:6" x14ac:dyDescent="0.3">
      <c r="A213" s="1">
        <v>46164</v>
      </c>
      <c r="B213" t="s">
        <v>43</v>
      </c>
      <c r="C213" t="s">
        <v>76</v>
      </c>
      <c r="D213">
        <v>91</v>
      </c>
      <c r="E213">
        <v>0</v>
      </c>
      <c r="F213">
        <v>832.23</v>
      </c>
    </row>
    <row r="214" spans="1:6" x14ac:dyDescent="0.3">
      <c r="A214" s="1">
        <v>46164</v>
      </c>
      <c r="B214" t="s">
        <v>43</v>
      </c>
      <c r="C214" t="s">
        <v>80</v>
      </c>
      <c r="D214">
        <v>66</v>
      </c>
      <c r="E214">
        <v>0</v>
      </c>
      <c r="F214">
        <v>832.23</v>
      </c>
    </row>
    <row r="215" spans="1:6" hidden="1" x14ac:dyDescent="0.3">
      <c r="A215" s="1">
        <v>46164</v>
      </c>
      <c r="B215" t="s">
        <v>46</v>
      </c>
      <c r="C215" t="s">
        <v>167</v>
      </c>
      <c r="D215">
        <v>66</v>
      </c>
      <c r="E215">
        <v>832.23</v>
      </c>
      <c r="F215">
        <v>0</v>
      </c>
    </row>
    <row r="216" spans="1:6" hidden="1" x14ac:dyDescent="0.3">
      <c r="A216" s="1">
        <v>46166</v>
      </c>
      <c r="B216" t="s">
        <v>46</v>
      </c>
      <c r="C216" t="s">
        <v>168</v>
      </c>
      <c r="D216">
        <v>169</v>
      </c>
      <c r="E216">
        <v>924.7</v>
      </c>
      <c r="F216">
        <v>0</v>
      </c>
    </row>
    <row r="217" spans="1:6" x14ac:dyDescent="0.3">
      <c r="A217" s="1">
        <v>46166</v>
      </c>
      <c r="B217" t="s">
        <v>43</v>
      </c>
      <c r="C217" t="s">
        <v>169</v>
      </c>
      <c r="D217">
        <v>169</v>
      </c>
      <c r="E217">
        <v>16640</v>
      </c>
      <c r="F217">
        <v>0</v>
      </c>
    </row>
    <row r="218" spans="1:6" hidden="1" x14ac:dyDescent="0.3">
      <c r="A218" s="1">
        <v>46166</v>
      </c>
      <c r="B218" t="s">
        <v>160</v>
      </c>
      <c r="C218" t="s">
        <v>169</v>
      </c>
      <c r="D218">
        <v>169</v>
      </c>
      <c r="E218">
        <v>0</v>
      </c>
      <c r="F218">
        <v>16640</v>
      </c>
    </row>
    <row r="219" spans="1:6" x14ac:dyDescent="0.3">
      <c r="A219" s="1">
        <v>46166</v>
      </c>
      <c r="B219" t="s">
        <v>43</v>
      </c>
      <c r="C219" t="s">
        <v>170</v>
      </c>
      <c r="D219">
        <v>198</v>
      </c>
      <c r="E219">
        <v>15680</v>
      </c>
      <c r="F219">
        <v>0</v>
      </c>
    </row>
    <row r="220" spans="1:6" hidden="1" x14ac:dyDescent="0.3">
      <c r="A220" s="1">
        <v>46166</v>
      </c>
      <c r="B220" t="s">
        <v>160</v>
      </c>
      <c r="C220" t="s">
        <v>170</v>
      </c>
      <c r="D220">
        <v>198</v>
      </c>
      <c r="E220">
        <v>0</v>
      </c>
      <c r="F220">
        <v>15680</v>
      </c>
    </row>
    <row r="221" spans="1:6" x14ac:dyDescent="0.3">
      <c r="A221" s="1">
        <v>46166</v>
      </c>
      <c r="B221" t="s">
        <v>43</v>
      </c>
      <c r="C221" t="s">
        <v>171</v>
      </c>
      <c r="D221">
        <v>175</v>
      </c>
      <c r="E221">
        <v>15040</v>
      </c>
      <c r="F221">
        <v>0</v>
      </c>
    </row>
    <row r="222" spans="1:6" hidden="1" x14ac:dyDescent="0.3">
      <c r="A222" s="1">
        <v>46166</v>
      </c>
      <c r="B222" t="s">
        <v>160</v>
      </c>
      <c r="C222" t="s">
        <v>171</v>
      </c>
      <c r="D222">
        <v>175</v>
      </c>
      <c r="E222">
        <v>0</v>
      </c>
      <c r="F222">
        <v>15040</v>
      </c>
    </row>
    <row r="223" spans="1:6" x14ac:dyDescent="0.3">
      <c r="A223" s="1">
        <v>46166</v>
      </c>
      <c r="B223" t="s">
        <v>43</v>
      </c>
      <c r="C223" t="s">
        <v>172</v>
      </c>
      <c r="D223">
        <v>50</v>
      </c>
      <c r="E223">
        <v>17280</v>
      </c>
      <c r="F223">
        <v>0</v>
      </c>
    </row>
    <row r="224" spans="1:6" hidden="1" x14ac:dyDescent="0.3">
      <c r="A224" s="1">
        <v>46166</v>
      </c>
      <c r="B224" t="s">
        <v>160</v>
      </c>
      <c r="C224" t="s">
        <v>172</v>
      </c>
      <c r="D224">
        <v>50</v>
      </c>
      <c r="E224">
        <v>0</v>
      </c>
      <c r="F224">
        <v>17280</v>
      </c>
    </row>
    <row r="225" spans="1:6" x14ac:dyDescent="0.3">
      <c r="A225" s="1">
        <v>46166</v>
      </c>
      <c r="B225" t="s">
        <v>43</v>
      </c>
      <c r="C225" t="s">
        <v>104</v>
      </c>
      <c r="D225">
        <v>50</v>
      </c>
      <c r="E225">
        <v>0</v>
      </c>
      <c r="F225">
        <v>924.7</v>
      </c>
    </row>
    <row r="226" spans="1:6" hidden="1" x14ac:dyDescent="0.3">
      <c r="A226" s="1">
        <v>46166</v>
      </c>
      <c r="B226" t="s">
        <v>46</v>
      </c>
      <c r="C226" t="s">
        <v>173</v>
      </c>
      <c r="D226">
        <v>175</v>
      </c>
      <c r="E226">
        <v>924.7</v>
      </c>
      <c r="F226">
        <v>0</v>
      </c>
    </row>
    <row r="227" spans="1:6" x14ac:dyDescent="0.3">
      <c r="A227" s="1">
        <v>46166</v>
      </c>
      <c r="B227" t="s">
        <v>43</v>
      </c>
      <c r="C227" t="s">
        <v>60</v>
      </c>
      <c r="D227">
        <v>175</v>
      </c>
      <c r="E227">
        <v>0</v>
      </c>
      <c r="F227">
        <v>924.7</v>
      </c>
    </row>
    <row r="228" spans="1:6" hidden="1" x14ac:dyDescent="0.3">
      <c r="A228" s="1">
        <v>46166</v>
      </c>
      <c r="B228" t="s">
        <v>46</v>
      </c>
      <c r="C228" t="s">
        <v>174</v>
      </c>
      <c r="D228">
        <v>50</v>
      </c>
      <c r="E228">
        <v>924.7</v>
      </c>
      <c r="F228">
        <v>0</v>
      </c>
    </row>
    <row r="229" spans="1:6" x14ac:dyDescent="0.3">
      <c r="A229" s="1">
        <v>46166</v>
      </c>
      <c r="B229" t="s">
        <v>43</v>
      </c>
      <c r="C229" t="s">
        <v>94</v>
      </c>
      <c r="D229">
        <v>169</v>
      </c>
      <c r="E229">
        <v>0</v>
      </c>
      <c r="F229">
        <v>924.7</v>
      </c>
    </row>
    <row r="230" spans="1:6" hidden="1" x14ac:dyDescent="0.3">
      <c r="A230" s="1">
        <v>46166</v>
      </c>
      <c r="B230" t="s">
        <v>46</v>
      </c>
      <c r="C230" t="s">
        <v>175</v>
      </c>
      <c r="D230">
        <v>198</v>
      </c>
      <c r="E230">
        <v>924.7</v>
      </c>
      <c r="F230">
        <v>0</v>
      </c>
    </row>
    <row r="231" spans="1:6" x14ac:dyDescent="0.3">
      <c r="A231" s="1">
        <v>46166</v>
      </c>
      <c r="B231" t="s">
        <v>43</v>
      </c>
      <c r="C231" t="s">
        <v>66</v>
      </c>
      <c r="D231">
        <v>198</v>
      </c>
      <c r="E231">
        <v>0</v>
      </c>
      <c r="F231">
        <v>924.7</v>
      </c>
    </row>
    <row r="232" spans="1:6" hidden="1" x14ac:dyDescent="0.3">
      <c r="A232" s="1">
        <v>46167</v>
      </c>
      <c r="B232" t="s">
        <v>46</v>
      </c>
      <c r="C232" t="s">
        <v>48</v>
      </c>
      <c r="E232">
        <v>21340</v>
      </c>
      <c r="F232">
        <v>0</v>
      </c>
    </row>
    <row r="233" spans="1:6" x14ac:dyDescent="0.3">
      <c r="A233" s="1">
        <v>46167</v>
      </c>
      <c r="B233" t="s">
        <v>43</v>
      </c>
      <c r="C233" t="s">
        <v>68</v>
      </c>
      <c r="D233">
        <v>174</v>
      </c>
      <c r="E233">
        <v>0</v>
      </c>
      <c r="F233">
        <v>970.94</v>
      </c>
    </row>
    <row r="234" spans="1:6" hidden="1" x14ac:dyDescent="0.3">
      <c r="A234" s="1">
        <v>46167</v>
      </c>
      <c r="B234" t="s">
        <v>46</v>
      </c>
      <c r="C234" t="s">
        <v>176</v>
      </c>
      <c r="D234">
        <v>174</v>
      </c>
      <c r="E234">
        <v>970.94</v>
      </c>
      <c r="F234">
        <v>0</v>
      </c>
    </row>
    <row r="235" spans="1:6" x14ac:dyDescent="0.3">
      <c r="A235" s="1">
        <v>46167</v>
      </c>
      <c r="B235" t="s">
        <v>43</v>
      </c>
      <c r="C235" t="s">
        <v>102</v>
      </c>
      <c r="D235">
        <v>52</v>
      </c>
      <c r="E235">
        <v>0</v>
      </c>
      <c r="F235">
        <v>970.94</v>
      </c>
    </row>
    <row r="236" spans="1:6" hidden="1" x14ac:dyDescent="0.3">
      <c r="A236" s="1">
        <v>46167</v>
      </c>
      <c r="B236" t="s">
        <v>46</v>
      </c>
      <c r="C236" t="s">
        <v>177</v>
      </c>
      <c r="D236">
        <v>52</v>
      </c>
      <c r="E236">
        <v>970.94</v>
      </c>
      <c r="F236">
        <v>0</v>
      </c>
    </row>
    <row r="237" spans="1:6" x14ac:dyDescent="0.3">
      <c r="A237" s="1">
        <v>46167</v>
      </c>
      <c r="B237" t="s">
        <v>43</v>
      </c>
      <c r="C237" t="s">
        <v>178</v>
      </c>
      <c r="D237">
        <v>174</v>
      </c>
      <c r="E237">
        <v>16960</v>
      </c>
      <c r="F237">
        <v>0</v>
      </c>
    </row>
    <row r="238" spans="1:6" hidden="1" x14ac:dyDescent="0.3">
      <c r="A238" s="1">
        <v>46167</v>
      </c>
      <c r="B238" t="s">
        <v>160</v>
      </c>
      <c r="C238" t="s">
        <v>178</v>
      </c>
      <c r="D238">
        <v>174</v>
      </c>
      <c r="E238">
        <v>0</v>
      </c>
      <c r="F238">
        <v>16960</v>
      </c>
    </row>
    <row r="239" spans="1:6" x14ac:dyDescent="0.3">
      <c r="A239" s="1">
        <v>46167</v>
      </c>
      <c r="B239" t="s">
        <v>43</v>
      </c>
      <c r="C239" t="s">
        <v>179</v>
      </c>
      <c r="D239">
        <v>59</v>
      </c>
      <c r="E239">
        <v>13120</v>
      </c>
      <c r="F239">
        <v>0</v>
      </c>
    </row>
    <row r="240" spans="1:6" hidden="1" x14ac:dyDescent="0.3">
      <c r="A240" s="1">
        <v>46167</v>
      </c>
      <c r="B240" t="s">
        <v>160</v>
      </c>
      <c r="C240" t="s">
        <v>179</v>
      </c>
      <c r="D240">
        <v>59</v>
      </c>
      <c r="E240">
        <v>0</v>
      </c>
      <c r="F240">
        <v>13120</v>
      </c>
    </row>
    <row r="241" spans="1:6" x14ac:dyDescent="0.3">
      <c r="A241" s="1">
        <v>46167</v>
      </c>
      <c r="B241" t="s">
        <v>43</v>
      </c>
      <c r="C241" t="s">
        <v>48</v>
      </c>
      <c r="E241">
        <v>0</v>
      </c>
      <c r="F241">
        <v>21340</v>
      </c>
    </row>
    <row r="242" spans="1:6" hidden="1" x14ac:dyDescent="0.3">
      <c r="A242" s="1">
        <v>46169</v>
      </c>
      <c r="B242" t="s">
        <v>46</v>
      </c>
      <c r="C242" t="s">
        <v>180</v>
      </c>
      <c r="D242">
        <v>114</v>
      </c>
      <c r="E242">
        <v>1063.4100000000001</v>
      </c>
      <c r="F242">
        <v>0</v>
      </c>
    </row>
    <row r="243" spans="1:6" x14ac:dyDescent="0.3">
      <c r="A243" s="1">
        <v>46169</v>
      </c>
      <c r="B243" t="s">
        <v>43</v>
      </c>
      <c r="C243" t="s">
        <v>116</v>
      </c>
      <c r="D243">
        <v>363</v>
      </c>
      <c r="E243">
        <v>0</v>
      </c>
      <c r="F243">
        <v>1063.4100000000001</v>
      </c>
    </row>
    <row r="244" spans="1:6" hidden="1" x14ac:dyDescent="0.3">
      <c r="A244" s="1">
        <v>46169</v>
      </c>
      <c r="B244" t="s">
        <v>46</v>
      </c>
      <c r="C244" t="s">
        <v>181</v>
      </c>
      <c r="D244">
        <v>22</v>
      </c>
      <c r="E244">
        <v>1063.4100000000001</v>
      </c>
      <c r="F244">
        <v>0</v>
      </c>
    </row>
    <row r="245" spans="1:6" x14ac:dyDescent="0.3">
      <c r="A245" s="1">
        <v>46169</v>
      </c>
      <c r="B245" t="s">
        <v>43</v>
      </c>
      <c r="C245" t="s">
        <v>114</v>
      </c>
      <c r="D245">
        <v>22</v>
      </c>
      <c r="E245">
        <v>0</v>
      </c>
      <c r="F245">
        <v>1063.4100000000001</v>
      </c>
    </row>
    <row r="246" spans="1:6" hidden="1" x14ac:dyDescent="0.3">
      <c r="A246" s="1">
        <v>46169</v>
      </c>
      <c r="B246" t="s">
        <v>46</v>
      </c>
      <c r="C246" t="s">
        <v>182</v>
      </c>
      <c r="D246">
        <v>7</v>
      </c>
      <c r="E246">
        <v>1063.4100000000001</v>
      </c>
      <c r="F246">
        <v>0</v>
      </c>
    </row>
    <row r="247" spans="1:6" x14ac:dyDescent="0.3">
      <c r="A247" s="1">
        <v>46169</v>
      </c>
      <c r="B247" t="s">
        <v>43</v>
      </c>
      <c r="C247" t="s">
        <v>70</v>
      </c>
      <c r="D247">
        <v>7</v>
      </c>
      <c r="E247">
        <v>0</v>
      </c>
      <c r="F247">
        <v>1063.4100000000001</v>
      </c>
    </row>
    <row r="248" spans="1:6" hidden="1" x14ac:dyDescent="0.3">
      <c r="A248" s="1">
        <v>46169</v>
      </c>
      <c r="B248" t="s">
        <v>46</v>
      </c>
      <c r="C248" t="s">
        <v>183</v>
      </c>
      <c r="D248">
        <v>23</v>
      </c>
      <c r="E248">
        <v>1063.4100000000001</v>
      </c>
      <c r="F248">
        <v>0</v>
      </c>
    </row>
    <row r="249" spans="1:6" x14ac:dyDescent="0.3">
      <c r="A249" s="1">
        <v>46169</v>
      </c>
      <c r="B249" t="s">
        <v>43</v>
      </c>
      <c r="C249" t="s">
        <v>96</v>
      </c>
      <c r="D249">
        <v>23</v>
      </c>
      <c r="E249">
        <v>0</v>
      </c>
      <c r="F249">
        <v>1063.4100000000001</v>
      </c>
    </row>
    <row r="250" spans="1:6" hidden="1" x14ac:dyDescent="0.3">
      <c r="A250" s="1">
        <v>46169</v>
      </c>
      <c r="B250" t="s">
        <v>46</v>
      </c>
      <c r="C250" t="s">
        <v>184</v>
      </c>
      <c r="D250">
        <v>200</v>
      </c>
      <c r="E250">
        <v>1063.4100000000001</v>
      </c>
      <c r="F250">
        <v>0</v>
      </c>
    </row>
    <row r="251" spans="1:6" x14ac:dyDescent="0.3">
      <c r="A251" s="1">
        <v>46169</v>
      </c>
      <c r="B251" t="s">
        <v>43</v>
      </c>
      <c r="C251" t="s">
        <v>120</v>
      </c>
      <c r="D251">
        <v>200</v>
      </c>
      <c r="E251">
        <v>0</v>
      </c>
      <c r="F251">
        <v>1063.4100000000001</v>
      </c>
    </row>
    <row r="252" spans="1:6" hidden="1" x14ac:dyDescent="0.3">
      <c r="A252" s="1">
        <v>46169</v>
      </c>
      <c r="B252" t="s">
        <v>46</v>
      </c>
      <c r="C252" t="s">
        <v>185</v>
      </c>
      <c r="D252">
        <v>197</v>
      </c>
      <c r="E252">
        <v>1063.4100000000001</v>
      </c>
      <c r="F252">
        <v>0</v>
      </c>
    </row>
    <row r="253" spans="1:6" x14ac:dyDescent="0.3">
      <c r="A253" s="1">
        <v>46169</v>
      </c>
      <c r="B253" t="s">
        <v>43</v>
      </c>
      <c r="C253" t="s">
        <v>64</v>
      </c>
      <c r="D253">
        <v>197</v>
      </c>
      <c r="E253">
        <v>0</v>
      </c>
      <c r="F253">
        <v>1063.4100000000001</v>
      </c>
    </row>
    <row r="254" spans="1:6" hidden="1" x14ac:dyDescent="0.3">
      <c r="A254" s="1">
        <v>46169</v>
      </c>
      <c r="B254" t="s">
        <v>46</v>
      </c>
      <c r="C254" t="s">
        <v>186</v>
      </c>
      <c r="D254">
        <v>172</v>
      </c>
      <c r="E254">
        <v>1063.4100000000001</v>
      </c>
      <c r="F254">
        <v>0</v>
      </c>
    </row>
    <row r="255" spans="1:6" x14ac:dyDescent="0.3">
      <c r="A255" s="1">
        <v>46169</v>
      </c>
      <c r="B255" t="s">
        <v>43</v>
      </c>
      <c r="C255" t="s">
        <v>118</v>
      </c>
      <c r="D255">
        <v>172</v>
      </c>
      <c r="E255">
        <v>0</v>
      </c>
      <c r="F255">
        <v>1063.4100000000001</v>
      </c>
    </row>
    <row r="256" spans="1:6" hidden="1" x14ac:dyDescent="0.3">
      <c r="A256" s="1">
        <v>46169</v>
      </c>
      <c r="B256" t="s">
        <v>46</v>
      </c>
      <c r="C256" t="s">
        <v>187</v>
      </c>
      <c r="D256">
        <v>59</v>
      </c>
      <c r="E256">
        <v>1063.4100000000001</v>
      </c>
      <c r="F256">
        <v>0</v>
      </c>
    </row>
    <row r="257" spans="1:6" x14ac:dyDescent="0.3">
      <c r="A257" s="1">
        <v>46169</v>
      </c>
      <c r="B257" t="s">
        <v>43</v>
      </c>
      <c r="C257" t="s">
        <v>82</v>
      </c>
      <c r="D257">
        <v>59</v>
      </c>
      <c r="E257">
        <v>0</v>
      </c>
      <c r="F257">
        <v>1063.4100000000001</v>
      </c>
    </row>
    <row r="258" spans="1:6" hidden="1" x14ac:dyDescent="0.3">
      <c r="A258" s="1">
        <v>46169</v>
      </c>
      <c r="B258" t="s">
        <v>46</v>
      </c>
      <c r="C258" t="s">
        <v>188</v>
      </c>
      <c r="D258">
        <v>364</v>
      </c>
      <c r="E258">
        <v>1063.4100000000001</v>
      </c>
      <c r="F258">
        <v>0</v>
      </c>
    </row>
    <row r="259" spans="1:6" x14ac:dyDescent="0.3">
      <c r="A259" s="1">
        <v>46169</v>
      </c>
      <c r="B259" t="s">
        <v>43</v>
      </c>
      <c r="C259" t="s">
        <v>112</v>
      </c>
      <c r="D259">
        <v>364</v>
      </c>
      <c r="E259">
        <v>0</v>
      </c>
      <c r="F259">
        <v>1063.4100000000001</v>
      </c>
    </row>
    <row r="260" spans="1:6" hidden="1" x14ac:dyDescent="0.3">
      <c r="A260" s="1">
        <v>46169</v>
      </c>
      <c r="B260" t="s">
        <v>46</v>
      </c>
      <c r="C260" t="s">
        <v>189</v>
      </c>
      <c r="D260">
        <v>344</v>
      </c>
      <c r="E260">
        <v>1063.4100000000001</v>
      </c>
      <c r="F260">
        <v>0</v>
      </c>
    </row>
    <row r="261" spans="1:6" x14ac:dyDescent="0.3">
      <c r="A261" s="1">
        <v>46169</v>
      </c>
      <c r="B261" t="s">
        <v>43</v>
      </c>
      <c r="C261" t="s">
        <v>90</v>
      </c>
      <c r="D261">
        <v>344</v>
      </c>
      <c r="E261">
        <v>0</v>
      </c>
      <c r="F261">
        <v>1063.4100000000001</v>
      </c>
    </row>
    <row r="262" spans="1:6" hidden="1" x14ac:dyDescent="0.3">
      <c r="A262" s="1">
        <v>46169</v>
      </c>
      <c r="B262" t="s">
        <v>46</v>
      </c>
      <c r="C262" t="s">
        <v>190</v>
      </c>
      <c r="D262">
        <v>361</v>
      </c>
      <c r="E262">
        <v>1063.4100000000001</v>
      </c>
      <c r="F262">
        <v>0</v>
      </c>
    </row>
    <row r="263" spans="1:6" x14ac:dyDescent="0.3">
      <c r="A263" s="1">
        <v>46169</v>
      </c>
      <c r="B263" t="s">
        <v>43</v>
      </c>
      <c r="C263" t="s">
        <v>98</v>
      </c>
      <c r="D263">
        <v>361</v>
      </c>
      <c r="E263">
        <v>0</v>
      </c>
      <c r="F263">
        <v>1063.4100000000001</v>
      </c>
    </row>
    <row r="264" spans="1:6" hidden="1" x14ac:dyDescent="0.3">
      <c r="A264" s="1">
        <v>46169</v>
      </c>
      <c r="B264" t="s">
        <v>46</v>
      </c>
      <c r="C264" t="s">
        <v>191</v>
      </c>
      <c r="D264">
        <v>179</v>
      </c>
      <c r="E264">
        <v>1063.4100000000001</v>
      </c>
      <c r="F264">
        <v>0</v>
      </c>
    </row>
    <row r="265" spans="1:6" hidden="1" x14ac:dyDescent="0.3">
      <c r="A265" s="1">
        <v>46169</v>
      </c>
      <c r="B265" t="s">
        <v>160</v>
      </c>
      <c r="C265" t="s">
        <v>192</v>
      </c>
      <c r="D265">
        <v>28</v>
      </c>
      <c r="E265">
        <v>0</v>
      </c>
      <c r="F265">
        <v>15392</v>
      </c>
    </row>
    <row r="266" spans="1:6" x14ac:dyDescent="0.3">
      <c r="A266" s="1">
        <v>46169</v>
      </c>
      <c r="B266" t="s">
        <v>43</v>
      </c>
      <c r="C266" t="s">
        <v>193</v>
      </c>
      <c r="D266">
        <v>28</v>
      </c>
      <c r="E266">
        <v>15392</v>
      </c>
      <c r="F266">
        <v>0</v>
      </c>
    </row>
    <row r="267" spans="1:6" hidden="1" x14ac:dyDescent="0.3">
      <c r="A267" s="1">
        <v>46169</v>
      </c>
      <c r="B267" t="s">
        <v>160</v>
      </c>
      <c r="C267" t="s">
        <v>194</v>
      </c>
      <c r="D267">
        <v>200</v>
      </c>
      <c r="E267">
        <v>0</v>
      </c>
      <c r="F267">
        <v>13632</v>
      </c>
    </row>
    <row r="268" spans="1:6" x14ac:dyDescent="0.3">
      <c r="A268" s="1">
        <v>46169</v>
      </c>
      <c r="B268" t="s">
        <v>43</v>
      </c>
      <c r="C268" t="s">
        <v>194</v>
      </c>
      <c r="D268">
        <v>200</v>
      </c>
      <c r="E268">
        <v>13632</v>
      </c>
      <c r="F268">
        <v>0</v>
      </c>
    </row>
    <row r="269" spans="1:6" hidden="1" x14ac:dyDescent="0.3">
      <c r="A269" s="1">
        <v>46169</v>
      </c>
      <c r="B269" t="s">
        <v>160</v>
      </c>
      <c r="C269" t="s">
        <v>195</v>
      </c>
      <c r="D269">
        <v>99</v>
      </c>
      <c r="E269">
        <v>0</v>
      </c>
      <c r="F269">
        <v>16960</v>
      </c>
    </row>
    <row r="270" spans="1:6" x14ac:dyDescent="0.3">
      <c r="A270" s="1">
        <v>46169</v>
      </c>
      <c r="B270" t="s">
        <v>43</v>
      </c>
      <c r="C270" t="s">
        <v>195</v>
      </c>
      <c r="D270">
        <v>99</v>
      </c>
      <c r="E270">
        <v>16960</v>
      </c>
      <c r="F270">
        <v>0</v>
      </c>
    </row>
    <row r="271" spans="1:6" hidden="1" x14ac:dyDescent="0.3">
      <c r="A271" s="1">
        <v>46169</v>
      </c>
      <c r="B271" t="s">
        <v>160</v>
      </c>
      <c r="C271" t="s">
        <v>196</v>
      </c>
      <c r="D271">
        <v>22</v>
      </c>
      <c r="E271">
        <v>0</v>
      </c>
      <c r="F271">
        <v>17888</v>
      </c>
    </row>
    <row r="272" spans="1:6" x14ac:dyDescent="0.3">
      <c r="A272" s="1">
        <v>46169</v>
      </c>
      <c r="B272" t="s">
        <v>43</v>
      </c>
      <c r="C272" t="s">
        <v>196</v>
      </c>
      <c r="D272">
        <v>22</v>
      </c>
      <c r="E272">
        <v>17888</v>
      </c>
      <c r="F272">
        <v>0</v>
      </c>
    </row>
    <row r="273" spans="1:8" hidden="1" x14ac:dyDescent="0.3">
      <c r="A273" s="1">
        <v>46169</v>
      </c>
      <c r="B273" t="s">
        <v>160</v>
      </c>
      <c r="C273" t="s">
        <v>197</v>
      </c>
      <c r="D273">
        <v>114</v>
      </c>
      <c r="E273">
        <v>0</v>
      </c>
      <c r="F273">
        <v>16928</v>
      </c>
    </row>
    <row r="274" spans="1:8" x14ac:dyDescent="0.3">
      <c r="A274" s="1">
        <v>46169</v>
      </c>
      <c r="B274" t="s">
        <v>43</v>
      </c>
      <c r="C274" t="s">
        <v>197</v>
      </c>
      <c r="D274">
        <v>114</v>
      </c>
      <c r="E274">
        <v>16928</v>
      </c>
      <c r="F274">
        <v>0</v>
      </c>
    </row>
    <row r="275" spans="1:8" hidden="1" x14ac:dyDescent="0.3">
      <c r="A275" s="1">
        <v>46169</v>
      </c>
      <c r="B275" t="s">
        <v>160</v>
      </c>
      <c r="C275" t="s">
        <v>198</v>
      </c>
      <c r="D275">
        <v>129</v>
      </c>
      <c r="E275">
        <v>0</v>
      </c>
      <c r="F275">
        <v>18016</v>
      </c>
    </row>
    <row r="276" spans="1:8" x14ac:dyDescent="0.3">
      <c r="A276" s="1">
        <v>46169</v>
      </c>
      <c r="B276" t="s">
        <v>43</v>
      </c>
      <c r="C276" t="s">
        <v>198</v>
      </c>
      <c r="D276">
        <v>129</v>
      </c>
      <c r="E276">
        <v>18016</v>
      </c>
      <c r="F276">
        <v>0</v>
      </c>
    </row>
    <row r="277" spans="1:8" hidden="1" x14ac:dyDescent="0.3">
      <c r="A277" s="1">
        <v>46169</v>
      </c>
      <c r="B277" t="s">
        <v>160</v>
      </c>
      <c r="C277" t="s">
        <v>199</v>
      </c>
      <c r="D277">
        <v>52</v>
      </c>
      <c r="E277">
        <v>0</v>
      </c>
      <c r="F277">
        <v>13120</v>
      </c>
    </row>
    <row r="278" spans="1:8" x14ac:dyDescent="0.3">
      <c r="A278" s="1">
        <v>46169</v>
      </c>
      <c r="B278" t="s">
        <v>43</v>
      </c>
      <c r="C278" t="s">
        <v>199</v>
      </c>
      <c r="D278">
        <v>52</v>
      </c>
      <c r="E278">
        <v>13120</v>
      </c>
      <c r="F278">
        <v>0</v>
      </c>
    </row>
    <row r="279" spans="1:8" hidden="1" x14ac:dyDescent="0.3">
      <c r="A279" s="1">
        <v>46169</v>
      </c>
      <c r="B279" t="s">
        <v>160</v>
      </c>
      <c r="C279" t="s">
        <v>200</v>
      </c>
      <c r="D279">
        <v>197</v>
      </c>
      <c r="E279">
        <v>0</v>
      </c>
      <c r="F279">
        <v>15040</v>
      </c>
    </row>
    <row r="280" spans="1:8" x14ac:dyDescent="0.3">
      <c r="A280" s="1">
        <v>46169</v>
      </c>
      <c r="B280" t="s">
        <v>43</v>
      </c>
      <c r="C280" t="s">
        <v>200</v>
      </c>
      <c r="D280">
        <v>197</v>
      </c>
      <c r="E280">
        <v>15040</v>
      </c>
      <c r="F280">
        <v>0</v>
      </c>
    </row>
    <row r="281" spans="1:8" hidden="1" x14ac:dyDescent="0.3">
      <c r="A281" s="1">
        <v>46169</v>
      </c>
      <c r="B281" t="s">
        <v>160</v>
      </c>
      <c r="C281" t="s">
        <v>201</v>
      </c>
      <c r="D281">
        <v>101</v>
      </c>
      <c r="E281">
        <v>0</v>
      </c>
      <c r="F281">
        <v>12160</v>
      </c>
      <c r="H281" t="s">
        <v>362</v>
      </c>
    </row>
    <row r="282" spans="1:8" x14ac:dyDescent="0.3">
      <c r="A282" s="1">
        <v>46169</v>
      </c>
      <c r="B282" t="s">
        <v>43</v>
      </c>
      <c r="C282" t="s">
        <v>201</v>
      </c>
      <c r="D282">
        <v>101</v>
      </c>
      <c r="E282">
        <v>12160</v>
      </c>
      <c r="F282">
        <v>0</v>
      </c>
      <c r="H282" t="s">
        <v>362</v>
      </c>
    </row>
    <row r="283" spans="1:8" hidden="1" x14ac:dyDescent="0.3">
      <c r="A283" s="1">
        <v>46169</v>
      </c>
      <c r="B283" t="s">
        <v>160</v>
      </c>
      <c r="C283" t="s">
        <v>202</v>
      </c>
      <c r="D283">
        <v>49</v>
      </c>
      <c r="E283">
        <v>0</v>
      </c>
      <c r="F283">
        <v>13760</v>
      </c>
    </row>
    <row r="284" spans="1:8" x14ac:dyDescent="0.3">
      <c r="A284" s="1">
        <v>46169</v>
      </c>
      <c r="B284" t="s">
        <v>43</v>
      </c>
      <c r="C284" t="s">
        <v>202</v>
      </c>
      <c r="D284">
        <v>49</v>
      </c>
      <c r="E284">
        <v>13760</v>
      </c>
      <c r="F284">
        <v>0</v>
      </c>
    </row>
    <row r="285" spans="1:8" hidden="1" x14ac:dyDescent="0.3">
      <c r="A285" s="1">
        <v>46169</v>
      </c>
      <c r="B285" t="s">
        <v>160</v>
      </c>
      <c r="C285" t="s">
        <v>203</v>
      </c>
      <c r="D285">
        <v>47</v>
      </c>
      <c r="E285">
        <v>0</v>
      </c>
      <c r="F285">
        <v>13760</v>
      </c>
    </row>
    <row r="286" spans="1:8" x14ac:dyDescent="0.3">
      <c r="A286" s="1">
        <v>46169</v>
      </c>
      <c r="B286" t="s">
        <v>43</v>
      </c>
      <c r="C286" t="s">
        <v>203</v>
      </c>
      <c r="D286">
        <v>47</v>
      </c>
      <c r="E286">
        <v>13760</v>
      </c>
      <c r="F286">
        <v>0</v>
      </c>
    </row>
    <row r="287" spans="1:8" hidden="1" x14ac:dyDescent="0.3">
      <c r="A287" s="1">
        <v>46169</v>
      </c>
      <c r="B287" t="s">
        <v>160</v>
      </c>
      <c r="C287" t="s">
        <v>204</v>
      </c>
      <c r="D287">
        <v>25</v>
      </c>
      <c r="E287">
        <v>0</v>
      </c>
      <c r="F287">
        <v>12160</v>
      </c>
    </row>
    <row r="288" spans="1:8" x14ac:dyDescent="0.3">
      <c r="A288" s="1">
        <v>46169</v>
      </c>
      <c r="B288" t="s">
        <v>43</v>
      </c>
      <c r="C288" t="s">
        <v>204</v>
      </c>
      <c r="D288">
        <v>25</v>
      </c>
      <c r="E288">
        <v>12160</v>
      </c>
      <c r="F288">
        <v>0</v>
      </c>
    </row>
    <row r="289" spans="1:6" hidden="1" x14ac:dyDescent="0.3">
      <c r="A289" s="1">
        <v>46169</v>
      </c>
      <c r="B289" t="s">
        <v>160</v>
      </c>
      <c r="C289" t="s">
        <v>205</v>
      </c>
      <c r="D289">
        <v>24</v>
      </c>
      <c r="E289">
        <v>0</v>
      </c>
      <c r="F289">
        <v>13440</v>
      </c>
    </row>
    <row r="290" spans="1:6" x14ac:dyDescent="0.3">
      <c r="A290" s="1">
        <v>46169</v>
      </c>
      <c r="B290" t="s">
        <v>43</v>
      </c>
      <c r="C290" t="s">
        <v>205</v>
      </c>
      <c r="D290">
        <v>24</v>
      </c>
      <c r="E290">
        <v>13440</v>
      </c>
      <c r="F290">
        <v>0</v>
      </c>
    </row>
    <row r="291" spans="1:6" hidden="1" x14ac:dyDescent="0.3">
      <c r="A291" s="1">
        <v>46169</v>
      </c>
      <c r="B291" t="s">
        <v>160</v>
      </c>
      <c r="C291" t="s">
        <v>206</v>
      </c>
      <c r="D291">
        <v>23</v>
      </c>
      <c r="E291">
        <v>0</v>
      </c>
      <c r="F291">
        <v>17920</v>
      </c>
    </row>
    <row r="292" spans="1:6" x14ac:dyDescent="0.3">
      <c r="A292" s="1">
        <v>46169</v>
      </c>
      <c r="B292" t="s">
        <v>43</v>
      </c>
      <c r="C292" t="s">
        <v>206</v>
      </c>
      <c r="D292">
        <v>23</v>
      </c>
      <c r="E292">
        <v>17920</v>
      </c>
      <c r="F292">
        <v>0</v>
      </c>
    </row>
    <row r="293" spans="1:6" hidden="1" x14ac:dyDescent="0.3">
      <c r="A293" s="1">
        <v>46169</v>
      </c>
      <c r="B293" t="s">
        <v>160</v>
      </c>
      <c r="C293" t="s">
        <v>207</v>
      </c>
      <c r="D293">
        <v>7</v>
      </c>
      <c r="E293">
        <v>0</v>
      </c>
      <c r="F293">
        <v>14816</v>
      </c>
    </row>
    <row r="294" spans="1:6" x14ac:dyDescent="0.3">
      <c r="A294" s="1">
        <v>46169</v>
      </c>
      <c r="B294" t="s">
        <v>43</v>
      </c>
      <c r="C294" t="s">
        <v>207</v>
      </c>
      <c r="D294">
        <v>7</v>
      </c>
      <c r="E294">
        <v>14816</v>
      </c>
      <c r="F294">
        <v>0</v>
      </c>
    </row>
    <row r="295" spans="1:6" hidden="1" x14ac:dyDescent="0.3">
      <c r="A295" s="1">
        <v>46169</v>
      </c>
      <c r="B295" t="s">
        <v>160</v>
      </c>
      <c r="C295" t="s">
        <v>208</v>
      </c>
      <c r="D295">
        <v>364</v>
      </c>
      <c r="E295">
        <v>0</v>
      </c>
      <c r="F295">
        <v>19520</v>
      </c>
    </row>
    <row r="296" spans="1:6" x14ac:dyDescent="0.3">
      <c r="A296" s="1">
        <v>46169</v>
      </c>
      <c r="B296" t="s">
        <v>43</v>
      </c>
      <c r="C296" t="s">
        <v>208</v>
      </c>
      <c r="D296">
        <v>364</v>
      </c>
      <c r="E296">
        <v>19520</v>
      </c>
      <c r="F296">
        <v>0</v>
      </c>
    </row>
    <row r="297" spans="1:6" hidden="1" x14ac:dyDescent="0.3">
      <c r="A297" s="1">
        <v>46169</v>
      </c>
      <c r="B297" t="s">
        <v>160</v>
      </c>
      <c r="C297" t="s">
        <v>209</v>
      </c>
      <c r="D297">
        <v>363</v>
      </c>
      <c r="E297">
        <v>0</v>
      </c>
      <c r="F297">
        <v>15040</v>
      </c>
    </row>
    <row r="298" spans="1:6" x14ac:dyDescent="0.3">
      <c r="A298" s="1">
        <v>46169</v>
      </c>
      <c r="B298" t="s">
        <v>43</v>
      </c>
      <c r="C298" t="s">
        <v>209</v>
      </c>
      <c r="D298">
        <v>363</v>
      </c>
      <c r="E298">
        <v>15040</v>
      </c>
      <c r="F298">
        <v>0</v>
      </c>
    </row>
    <row r="299" spans="1:6" hidden="1" x14ac:dyDescent="0.3">
      <c r="A299" s="1">
        <v>46169</v>
      </c>
      <c r="B299" t="s">
        <v>160</v>
      </c>
      <c r="C299" t="s">
        <v>210</v>
      </c>
      <c r="D299">
        <v>361</v>
      </c>
      <c r="E299">
        <v>0</v>
      </c>
      <c r="F299">
        <v>15680</v>
      </c>
    </row>
    <row r="300" spans="1:6" x14ac:dyDescent="0.3">
      <c r="A300" s="1">
        <v>46169</v>
      </c>
      <c r="B300" t="s">
        <v>43</v>
      </c>
      <c r="C300" t="s">
        <v>210</v>
      </c>
      <c r="D300">
        <v>361</v>
      </c>
      <c r="E300">
        <v>15680</v>
      </c>
      <c r="F300">
        <v>0</v>
      </c>
    </row>
    <row r="301" spans="1:6" hidden="1" x14ac:dyDescent="0.3">
      <c r="A301" s="1">
        <v>46169</v>
      </c>
      <c r="B301" t="s">
        <v>160</v>
      </c>
      <c r="C301" t="s">
        <v>211</v>
      </c>
      <c r="D301">
        <v>46</v>
      </c>
      <c r="E301">
        <v>0</v>
      </c>
      <c r="F301">
        <v>11840</v>
      </c>
    </row>
    <row r="302" spans="1:6" x14ac:dyDescent="0.3">
      <c r="A302" s="1">
        <v>46169</v>
      </c>
      <c r="B302" t="s">
        <v>43</v>
      </c>
      <c r="C302" t="s">
        <v>211</v>
      </c>
      <c r="D302">
        <v>46</v>
      </c>
      <c r="E302">
        <v>11840</v>
      </c>
      <c r="F302">
        <v>0</v>
      </c>
    </row>
    <row r="303" spans="1:6" hidden="1" x14ac:dyDescent="0.3">
      <c r="A303" s="1">
        <v>46169</v>
      </c>
      <c r="B303" t="s">
        <v>160</v>
      </c>
      <c r="C303" t="s">
        <v>212</v>
      </c>
      <c r="D303">
        <v>179</v>
      </c>
      <c r="E303">
        <v>0</v>
      </c>
      <c r="F303">
        <v>15360</v>
      </c>
    </row>
    <row r="304" spans="1:6" x14ac:dyDescent="0.3">
      <c r="A304" s="1">
        <v>46169</v>
      </c>
      <c r="B304" t="s">
        <v>43</v>
      </c>
      <c r="C304" t="s">
        <v>212</v>
      </c>
      <c r="D304">
        <v>179</v>
      </c>
      <c r="E304">
        <v>15360</v>
      </c>
      <c r="F304">
        <v>0</v>
      </c>
    </row>
    <row r="305" spans="1:8" hidden="1" x14ac:dyDescent="0.3">
      <c r="A305" s="1">
        <v>46169</v>
      </c>
      <c r="B305" t="s">
        <v>160</v>
      </c>
      <c r="C305" t="s">
        <v>213</v>
      </c>
      <c r="D305">
        <v>173</v>
      </c>
      <c r="E305">
        <v>0</v>
      </c>
      <c r="F305">
        <v>16800</v>
      </c>
    </row>
    <row r="306" spans="1:8" x14ac:dyDescent="0.3">
      <c r="A306" s="1">
        <v>46169</v>
      </c>
      <c r="B306" t="s">
        <v>43</v>
      </c>
      <c r="C306" t="s">
        <v>213</v>
      </c>
      <c r="D306">
        <v>173</v>
      </c>
      <c r="E306">
        <v>16800</v>
      </c>
      <c r="F306">
        <v>0</v>
      </c>
    </row>
    <row r="307" spans="1:8" hidden="1" x14ac:dyDescent="0.3">
      <c r="A307" s="1">
        <v>46169</v>
      </c>
      <c r="B307" t="s">
        <v>160</v>
      </c>
      <c r="C307" t="s">
        <v>214</v>
      </c>
      <c r="D307">
        <v>172</v>
      </c>
      <c r="E307">
        <v>0</v>
      </c>
      <c r="F307">
        <v>14912</v>
      </c>
    </row>
    <row r="308" spans="1:8" x14ac:dyDescent="0.3">
      <c r="A308" s="1">
        <v>46169</v>
      </c>
      <c r="B308" t="s">
        <v>43</v>
      </c>
      <c r="C308" t="s">
        <v>214</v>
      </c>
      <c r="D308">
        <v>172</v>
      </c>
      <c r="E308">
        <v>14912</v>
      </c>
      <c r="F308">
        <v>0</v>
      </c>
    </row>
    <row r="309" spans="1:8" hidden="1" x14ac:dyDescent="0.3">
      <c r="A309" s="1">
        <v>46169</v>
      </c>
      <c r="B309" t="s">
        <v>160</v>
      </c>
      <c r="C309" t="s">
        <v>215</v>
      </c>
      <c r="D309">
        <v>170</v>
      </c>
      <c r="E309">
        <v>0</v>
      </c>
      <c r="F309">
        <v>15040</v>
      </c>
    </row>
    <row r="310" spans="1:8" hidden="1" x14ac:dyDescent="0.3">
      <c r="A310" s="1">
        <v>46169</v>
      </c>
      <c r="B310" t="s">
        <v>160</v>
      </c>
      <c r="C310" t="s">
        <v>216</v>
      </c>
      <c r="E310">
        <v>0</v>
      </c>
      <c r="F310">
        <v>131360</v>
      </c>
    </row>
    <row r="311" spans="1:8" x14ac:dyDescent="0.3">
      <c r="A311" s="1">
        <v>46169</v>
      </c>
      <c r="B311" t="s">
        <v>43</v>
      </c>
      <c r="C311" t="s">
        <v>216</v>
      </c>
      <c r="E311">
        <v>131360</v>
      </c>
      <c r="F311">
        <v>0</v>
      </c>
    </row>
    <row r="312" spans="1:8" hidden="1" x14ac:dyDescent="0.3">
      <c r="A312" s="1">
        <v>46169</v>
      </c>
      <c r="B312" t="s">
        <v>217</v>
      </c>
      <c r="C312" t="s">
        <v>218</v>
      </c>
      <c r="E312">
        <v>110835</v>
      </c>
      <c r="F312">
        <v>0</v>
      </c>
    </row>
    <row r="313" spans="1:8" x14ac:dyDescent="0.3">
      <c r="A313" s="1">
        <v>46169</v>
      </c>
      <c r="B313" t="s">
        <v>43</v>
      </c>
      <c r="C313" t="s">
        <v>218</v>
      </c>
      <c r="E313">
        <v>0</v>
      </c>
      <c r="F313">
        <v>110835</v>
      </c>
    </row>
    <row r="314" spans="1:8" x14ac:dyDescent="0.3">
      <c r="A314" s="1">
        <v>46169</v>
      </c>
      <c r="B314" t="s">
        <v>43</v>
      </c>
      <c r="C314" t="s">
        <v>219</v>
      </c>
      <c r="E314">
        <v>0</v>
      </c>
      <c r="F314">
        <v>1623</v>
      </c>
      <c r="H314" t="s">
        <v>362</v>
      </c>
    </row>
    <row r="315" spans="1:8" hidden="1" x14ac:dyDescent="0.3">
      <c r="A315" s="1">
        <v>46169</v>
      </c>
      <c r="B315" t="s">
        <v>46</v>
      </c>
      <c r="C315" t="s">
        <v>219</v>
      </c>
      <c r="D315">
        <v>101</v>
      </c>
      <c r="E315">
        <v>1623</v>
      </c>
      <c r="F315">
        <v>0</v>
      </c>
      <c r="H315" t="s">
        <v>362</v>
      </c>
    </row>
    <row r="316" spans="1:8" x14ac:dyDescent="0.3">
      <c r="A316" s="1">
        <v>46169</v>
      </c>
      <c r="B316" t="s">
        <v>43</v>
      </c>
      <c r="C316" t="s">
        <v>215</v>
      </c>
      <c r="D316">
        <v>170</v>
      </c>
      <c r="E316">
        <v>15040</v>
      </c>
      <c r="F316">
        <v>0</v>
      </c>
    </row>
    <row r="317" spans="1:8" hidden="1" x14ac:dyDescent="0.3">
      <c r="A317" s="1">
        <v>46169</v>
      </c>
      <c r="B317" t="s">
        <v>160</v>
      </c>
      <c r="C317" t="s">
        <v>220</v>
      </c>
      <c r="D317">
        <v>178</v>
      </c>
      <c r="E317">
        <v>0</v>
      </c>
      <c r="F317">
        <v>19200</v>
      </c>
    </row>
    <row r="318" spans="1:8" x14ac:dyDescent="0.3">
      <c r="A318" s="1">
        <v>46169</v>
      </c>
      <c r="B318" t="s">
        <v>43</v>
      </c>
      <c r="C318" t="s">
        <v>220</v>
      </c>
      <c r="D318">
        <v>178</v>
      </c>
      <c r="E318">
        <v>19200</v>
      </c>
      <c r="F318">
        <v>0</v>
      </c>
    </row>
    <row r="319" spans="1:8" hidden="1" x14ac:dyDescent="0.3">
      <c r="A319" s="1">
        <v>46169</v>
      </c>
      <c r="B319" t="s">
        <v>160</v>
      </c>
      <c r="C319" t="s">
        <v>221</v>
      </c>
      <c r="D319">
        <v>177</v>
      </c>
      <c r="E319">
        <v>0</v>
      </c>
      <c r="F319">
        <v>14720</v>
      </c>
    </row>
    <row r="320" spans="1:8" x14ac:dyDescent="0.3">
      <c r="A320" s="1">
        <v>46169</v>
      </c>
      <c r="B320" t="s">
        <v>43</v>
      </c>
      <c r="C320" t="s">
        <v>221</v>
      </c>
      <c r="D320">
        <v>177</v>
      </c>
      <c r="E320">
        <v>14720</v>
      </c>
      <c r="F320">
        <v>0</v>
      </c>
    </row>
    <row r="321" spans="1:6" hidden="1" x14ac:dyDescent="0.3">
      <c r="A321" s="1">
        <v>46169</v>
      </c>
      <c r="B321" t="s">
        <v>160</v>
      </c>
      <c r="C321" t="s">
        <v>222</v>
      </c>
      <c r="D321">
        <v>176</v>
      </c>
      <c r="E321">
        <v>0</v>
      </c>
      <c r="F321">
        <v>12480</v>
      </c>
    </row>
    <row r="322" spans="1:6" x14ac:dyDescent="0.3">
      <c r="A322" s="1">
        <v>46169</v>
      </c>
      <c r="B322" t="s">
        <v>43</v>
      </c>
      <c r="C322" t="s">
        <v>222</v>
      </c>
      <c r="D322">
        <v>176</v>
      </c>
      <c r="E322">
        <v>12480</v>
      </c>
      <c r="F322">
        <v>0</v>
      </c>
    </row>
    <row r="323" spans="1:6" x14ac:dyDescent="0.3">
      <c r="A323" s="1">
        <v>46169</v>
      </c>
      <c r="B323" t="s">
        <v>43</v>
      </c>
      <c r="C323" t="s">
        <v>50</v>
      </c>
      <c r="D323">
        <v>179</v>
      </c>
      <c r="E323">
        <v>0</v>
      </c>
      <c r="F323">
        <v>1063.4100000000001</v>
      </c>
    </row>
    <row r="324" spans="1:6" x14ac:dyDescent="0.3">
      <c r="A324" s="1">
        <v>46169</v>
      </c>
      <c r="B324" t="s">
        <v>43</v>
      </c>
      <c r="C324" t="s">
        <v>223</v>
      </c>
      <c r="D324">
        <v>344</v>
      </c>
      <c r="E324">
        <v>13952</v>
      </c>
      <c r="F324">
        <v>0</v>
      </c>
    </row>
    <row r="325" spans="1:6" hidden="1" x14ac:dyDescent="0.3">
      <c r="A325" s="1">
        <v>46169</v>
      </c>
      <c r="B325" t="s">
        <v>160</v>
      </c>
      <c r="C325" t="s">
        <v>224</v>
      </c>
      <c r="D325">
        <v>344</v>
      </c>
      <c r="E325">
        <v>0</v>
      </c>
      <c r="F325">
        <v>13952</v>
      </c>
    </row>
    <row r="326" spans="1:6" hidden="1" x14ac:dyDescent="0.3">
      <c r="A326" s="1">
        <v>46169</v>
      </c>
      <c r="B326" t="s">
        <v>46</v>
      </c>
      <c r="C326" t="s">
        <v>225</v>
      </c>
      <c r="D326">
        <v>28</v>
      </c>
      <c r="E326">
        <v>1063.4100000000001</v>
      </c>
      <c r="F326">
        <v>0</v>
      </c>
    </row>
    <row r="327" spans="1:6" x14ac:dyDescent="0.3">
      <c r="A327" s="1">
        <v>46169</v>
      </c>
      <c r="B327" t="s">
        <v>43</v>
      </c>
      <c r="C327" t="s">
        <v>78</v>
      </c>
      <c r="D327">
        <v>28</v>
      </c>
      <c r="E327">
        <v>0</v>
      </c>
      <c r="F327">
        <v>1063.4100000000001</v>
      </c>
    </row>
    <row r="328" spans="1:6" hidden="1" x14ac:dyDescent="0.3">
      <c r="A328" s="1">
        <v>46169</v>
      </c>
      <c r="B328" t="s">
        <v>46</v>
      </c>
      <c r="C328" t="s">
        <v>226</v>
      </c>
      <c r="D328">
        <v>129</v>
      </c>
      <c r="E328">
        <v>1063.4100000000001</v>
      </c>
      <c r="F328">
        <v>0</v>
      </c>
    </row>
    <row r="329" spans="1:6" x14ac:dyDescent="0.3">
      <c r="A329" s="1">
        <v>46169</v>
      </c>
      <c r="B329" t="s">
        <v>43</v>
      </c>
      <c r="C329" t="s">
        <v>56</v>
      </c>
      <c r="D329">
        <v>129</v>
      </c>
      <c r="E329">
        <v>0</v>
      </c>
      <c r="F329">
        <v>1063.4100000000001</v>
      </c>
    </row>
    <row r="330" spans="1:6" hidden="1" x14ac:dyDescent="0.3">
      <c r="A330" s="1">
        <v>46169</v>
      </c>
      <c r="B330" t="s">
        <v>46</v>
      </c>
      <c r="C330" t="s">
        <v>227</v>
      </c>
      <c r="D330">
        <v>173</v>
      </c>
      <c r="E330">
        <v>1063.4100000000001</v>
      </c>
      <c r="F330">
        <v>0</v>
      </c>
    </row>
    <row r="331" spans="1:6" x14ac:dyDescent="0.3">
      <c r="A331" s="1">
        <v>46169</v>
      </c>
      <c r="B331" t="s">
        <v>43</v>
      </c>
      <c r="C331" t="s">
        <v>108</v>
      </c>
      <c r="D331">
        <v>173</v>
      </c>
      <c r="E331">
        <v>0</v>
      </c>
      <c r="F331">
        <v>1063.4100000000001</v>
      </c>
    </row>
    <row r="332" spans="1:6" x14ac:dyDescent="0.3">
      <c r="A332" s="1">
        <v>46169</v>
      </c>
      <c r="B332" t="s">
        <v>43</v>
      </c>
      <c r="C332" t="s">
        <v>100</v>
      </c>
      <c r="D332">
        <v>114</v>
      </c>
      <c r="E332">
        <v>0</v>
      </c>
      <c r="F332">
        <v>1063.4100000000001</v>
      </c>
    </row>
    <row r="333" spans="1:6" hidden="1" x14ac:dyDescent="0.3">
      <c r="A333" s="1">
        <v>46169</v>
      </c>
      <c r="B333" t="s">
        <v>46</v>
      </c>
      <c r="C333" t="s">
        <v>228</v>
      </c>
      <c r="D333">
        <v>363</v>
      </c>
      <c r="E333">
        <v>1063.4100000000001</v>
      </c>
      <c r="F333">
        <v>0</v>
      </c>
    </row>
    <row r="334" spans="1:6" x14ac:dyDescent="0.3">
      <c r="A334" s="1">
        <v>46202</v>
      </c>
      <c r="B334" t="s">
        <v>43</v>
      </c>
      <c r="C334" t="s">
        <v>48</v>
      </c>
      <c r="E334">
        <v>0</v>
      </c>
      <c r="F334">
        <v>20485</v>
      </c>
    </row>
    <row r="335" spans="1:6" hidden="1" x14ac:dyDescent="0.3">
      <c r="A335" s="1">
        <v>46202</v>
      </c>
      <c r="B335" t="s">
        <v>46</v>
      </c>
      <c r="C335" t="s">
        <v>48</v>
      </c>
      <c r="E335">
        <v>20485</v>
      </c>
      <c r="F335">
        <v>0</v>
      </c>
    </row>
    <row r="336" spans="1:6" x14ac:dyDescent="0.3">
      <c r="A336" s="1">
        <v>46205</v>
      </c>
      <c r="B336" t="s">
        <v>43</v>
      </c>
      <c r="C336" t="s">
        <v>229</v>
      </c>
      <c r="E336">
        <v>0</v>
      </c>
      <c r="F336">
        <v>21510</v>
      </c>
    </row>
    <row r="337" spans="1:6" hidden="1" x14ac:dyDescent="0.3">
      <c r="A337" s="1">
        <v>46205</v>
      </c>
      <c r="B337" t="s">
        <v>46</v>
      </c>
      <c r="C337" t="s">
        <v>229</v>
      </c>
      <c r="E337">
        <v>21510</v>
      </c>
      <c r="F337">
        <v>0</v>
      </c>
    </row>
    <row r="338" spans="1:6" hidden="1" x14ac:dyDescent="0.3">
      <c r="A338" s="1">
        <v>46219</v>
      </c>
      <c r="B338" t="s">
        <v>46</v>
      </c>
      <c r="C338" t="s">
        <v>48</v>
      </c>
      <c r="E338">
        <v>20942</v>
      </c>
      <c r="F338">
        <v>0</v>
      </c>
    </row>
    <row r="339" spans="1:6" x14ac:dyDescent="0.3">
      <c r="A339" s="1">
        <v>46219</v>
      </c>
      <c r="B339" t="s">
        <v>43</v>
      </c>
      <c r="C339" t="s">
        <v>48</v>
      </c>
      <c r="E339">
        <v>0</v>
      </c>
      <c r="F339">
        <v>20942</v>
      </c>
    </row>
    <row r="340" spans="1:6" hidden="1" x14ac:dyDescent="0.3">
      <c r="A340" s="1">
        <v>46221</v>
      </c>
      <c r="B340" t="s">
        <v>46</v>
      </c>
      <c r="C340" t="s">
        <v>48</v>
      </c>
      <c r="E340">
        <v>21952</v>
      </c>
      <c r="F340">
        <v>0</v>
      </c>
    </row>
    <row r="341" spans="1:6" x14ac:dyDescent="0.3">
      <c r="A341" s="1">
        <v>46221</v>
      </c>
      <c r="B341" t="s">
        <v>43</v>
      </c>
      <c r="C341" t="s">
        <v>48</v>
      </c>
      <c r="E341">
        <v>0</v>
      </c>
      <c r="F341">
        <v>21952</v>
      </c>
    </row>
    <row r="342" spans="1:6" x14ac:dyDescent="0.3">
      <c r="A342" s="1">
        <v>46229</v>
      </c>
      <c r="B342" t="s">
        <v>43</v>
      </c>
      <c r="C342" t="s">
        <v>123</v>
      </c>
      <c r="E342">
        <v>0</v>
      </c>
      <c r="F342">
        <v>14800</v>
      </c>
    </row>
    <row r="343" spans="1:6" hidden="1" x14ac:dyDescent="0.3">
      <c r="A343" s="1">
        <v>46229</v>
      </c>
      <c r="B343" t="s">
        <v>46</v>
      </c>
      <c r="C343" t="s">
        <v>123</v>
      </c>
      <c r="E343">
        <v>14800</v>
      </c>
      <c r="F343">
        <v>0</v>
      </c>
    </row>
    <row r="344" spans="1:6" x14ac:dyDescent="0.3">
      <c r="A344" s="1">
        <v>46231</v>
      </c>
      <c r="B344" t="s">
        <v>43</v>
      </c>
      <c r="C344" t="s">
        <v>230</v>
      </c>
      <c r="E344">
        <v>0</v>
      </c>
      <c r="F344">
        <v>7500</v>
      </c>
    </row>
    <row r="345" spans="1:6" hidden="1" x14ac:dyDescent="0.3">
      <c r="A345" s="1">
        <v>46231</v>
      </c>
      <c r="B345" t="s">
        <v>231</v>
      </c>
      <c r="C345" t="s">
        <v>230</v>
      </c>
      <c r="E345">
        <v>7500</v>
      </c>
      <c r="F345">
        <v>0</v>
      </c>
    </row>
    <row r="346" spans="1:6" x14ac:dyDescent="0.3">
      <c r="A346" s="1">
        <v>46233</v>
      </c>
      <c r="B346" t="s">
        <v>43</v>
      </c>
      <c r="C346" t="s">
        <v>232</v>
      </c>
      <c r="E346">
        <v>0</v>
      </c>
      <c r="F346">
        <v>7000</v>
      </c>
    </row>
    <row r="347" spans="1:6" hidden="1" x14ac:dyDescent="0.3">
      <c r="A347" s="1">
        <v>46233</v>
      </c>
      <c r="B347" t="s">
        <v>231</v>
      </c>
      <c r="C347" t="s">
        <v>232</v>
      </c>
      <c r="E347">
        <v>7000</v>
      </c>
      <c r="F347">
        <v>0</v>
      </c>
    </row>
    <row r="348" spans="1:6" x14ac:dyDescent="0.3">
      <c r="A348" s="1">
        <v>46234</v>
      </c>
      <c r="B348" t="s">
        <v>43</v>
      </c>
      <c r="C348" t="s">
        <v>49</v>
      </c>
      <c r="E348">
        <v>0</v>
      </c>
      <c r="F348">
        <v>9146</v>
      </c>
    </row>
    <row r="349" spans="1:6" hidden="1" x14ac:dyDescent="0.3">
      <c r="A349" s="1">
        <v>46234</v>
      </c>
      <c r="B349" t="s">
        <v>46</v>
      </c>
      <c r="C349" t="s">
        <v>49</v>
      </c>
      <c r="E349">
        <v>9146</v>
      </c>
      <c r="F349">
        <v>0</v>
      </c>
    </row>
    <row r="350" spans="1:6" x14ac:dyDescent="0.3">
      <c r="A350" s="1">
        <v>46239</v>
      </c>
      <c r="B350" t="s">
        <v>43</v>
      </c>
      <c r="C350" t="s">
        <v>229</v>
      </c>
      <c r="E350">
        <v>0</v>
      </c>
      <c r="F350">
        <v>23000</v>
      </c>
    </row>
    <row r="351" spans="1:6" hidden="1" x14ac:dyDescent="0.3">
      <c r="A351" s="1">
        <v>46239</v>
      </c>
      <c r="B351" t="s">
        <v>46</v>
      </c>
      <c r="C351" t="s">
        <v>229</v>
      </c>
      <c r="E351">
        <v>23000</v>
      </c>
      <c r="F351">
        <v>0</v>
      </c>
    </row>
    <row r="352" spans="1:6" hidden="1" x14ac:dyDescent="0.3">
      <c r="A352" s="1">
        <v>46244</v>
      </c>
      <c r="B352" t="s">
        <v>46</v>
      </c>
      <c r="C352" t="s">
        <v>48</v>
      </c>
      <c r="E352">
        <v>19208</v>
      </c>
      <c r="F352">
        <v>0</v>
      </c>
    </row>
    <row r="353" spans="1:8" hidden="1" x14ac:dyDescent="0.3">
      <c r="A353" s="1">
        <v>46244</v>
      </c>
      <c r="B353" t="s">
        <v>46</v>
      </c>
      <c r="C353" t="s">
        <v>48</v>
      </c>
      <c r="E353">
        <v>20237</v>
      </c>
      <c r="F353">
        <v>0</v>
      </c>
    </row>
    <row r="354" spans="1:8" x14ac:dyDescent="0.3">
      <c r="A354" s="1">
        <v>46244</v>
      </c>
      <c r="B354" t="s">
        <v>43</v>
      </c>
      <c r="C354" t="s">
        <v>48</v>
      </c>
      <c r="E354">
        <v>0</v>
      </c>
      <c r="F354">
        <v>20237</v>
      </c>
    </row>
    <row r="355" spans="1:8" x14ac:dyDescent="0.3">
      <c r="A355" s="1">
        <v>46244</v>
      </c>
      <c r="B355" t="s">
        <v>43</v>
      </c>
      <c r="C355" t="s">
        <v>48</v>
      </c>
      <c r="E355">
        <v>0</v>
      </c>
      <c r="F355">
        <v>19208</v>
      </c>
    </row>
    <row r="356" spans="1:8" x14ac:dyDescent="0.3">
      <c r="A356" s="1">
        <v>46245</v>
      </c>
      <c r="B356" t="s">
        <v>43</v>
      </c>
      <c r="C356" t="s">
        <v>233</v>
      </c>
      <c r="D356">
        <v>376</v>
      </c>
      <c r="E356">
        <v>13640</v>
      </c>
      <c r="F356">
        <v>0</v>
      </c>
    </row>
    <row r="357" spans="1:8" hidden="1" x14ac:dyDescent="0.3">
      <c r="A357" s="1">
        <v>46245</v>
      </c>
      <c r="B357" t="s">
        <v>160</v>
      </c>
      <c r="C357" t="s">
        <v>233</v>
      </c>
      <c r="D357">
        <v>376</v>
      </c>
      <c r="E357">
        <v>0</v>
      </c>
      <c r="F357">
        <v>13640</v>
      </c>
    </row>
    <row r="358" spans="1:8" x14ac:dyDescent="0.3">
      <c r="A358" s="5"/>
      <c r="B358" s="6"/>
      <c r="E358" s="4">
        <f>SUBTOTAL(109,printable_financial_ledger_rows__2[debit])</f>
        <v>1015912</v>
      </c>
      <c r="F358" s="4">
        <f>SUBTOTAL(109,printable_financial_ledger_rows__2[credit])</f>
        <v>998632.52000000118</v>
      </c>
      <c r="H358" t="s">
        <v>362</v>
      </c>
    </row>
    <row r="359" spans="1:8" x14ac:dyDescent="0.3">
      <c r="H359" t="s">
        <v>362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65AC7-9B9C-4210-B8A3-49100BD8C689}">
  <dimension ref="A1:E201"/>
  <sheetViews>
    <sheetView topLeftCell="A64" workbookViewId="0">
      <selection activeCell="A8" sqref="A8:A192"/>
    </sheetView>
  </sheetViews>
  <sheetFormatPr defaultRowHeight="14.4" x14ac:dyDescent="0.3"/>
  <cols>
    <col min="1" max="1" width="9.109375" bestFit="1" customWidth="1"/>
    <col min="2" max="2" width="16.109375" bestFit="1" customWidth="1"/>
    <col min="3" max="3" width="12.109375" bestFit="1" customWidth="1"/>
    <col min="4" max="4" width="16.44140625" bestFit="1" customWidth="1"/>
    <col min="5" max="5" width="11.6640625" bestFit="1" customWidth="1"/>
  </cols>
  <sheetData>
    <row r="1" spans="1:5" x14ac:dyDescent="0.3">
      <c r="A1" t="s">
        <v>1</v>
      </c>
      <c r="B1" t="s">
        <v>32</v>
      </c>
      <c r="C1" t="s">
        <v>33</v>
      </c>
      <c r="D1" t="s">
        <v>34</v>
      </c>
      <c r="E1" t="s">
        <v>35</v>
      </c>
    </row>
    <row r="2" spans="1:5" hidden="1" x14ac:dyDescent="0.3">
      <c r="A2">
        <v>1</v>
      </c>
      <c r="B2">
        <v>0</v>
      </c>
      <c r="C2">
        <v>0</v>
      </c>
      <c r="D2">
        <v>0</v>
      </c>
      <c r="E2">
        <v>0</v>
      </c>
    </row>
    <row r="3" spans="1:5" hidden="1" x14ac:dyDescent="0.3">
      <c r="A3">
        <v>2</v>
      </c>
      <c r="B3">
        <v>0</v>
      </c>
      <c r="C3">
        <v>0</v>
      </c>
      <c r="D3">
        <v>0</v>
      </c>
      <c r="E3">
        <v>0</v>
      </c>
    </row>
    <row r="4" spans="1:5" hidden="1" x14ac:dyDescent="0.3">
      <c r="A4">
        <v>3</v>
      </c>
      <c r="B4">
        <v>0</v>
      </c>
      <c r="C4">
        <v>0</v>
      </c>
      <c r="D4">
        <v>0</v>
      </c>
      <c r="E4">
        <v>0</v>
      </c>
    </row>
    <row r="5" spans="1:5" hidden="1" x14ac:dyDescent="0.3">
      <c r="A5">
        <v>4</v>
      </c>
      <c r="B5">
        <v>0</v>
      </c>
      <c r="C5">
        <v>0</v>
      </c>
      <c r="D5">
        <v>0</v>
      </c>
      <c r="E5">
        <v>0</v>
      </c>
    </row>
    <row r="6" spans="1:5" hidden="1" x14ac:dyDescent="0.3">
      <c r="A6">
        <v>5</v>
      </c>
      <c r="B6">
        <v>0</v>
      </c>
      <c r="C6">
        <v>0</v>
      </c>
      <c r="D6">
        <v>0</v>
      </c>
      <c r="E6">
        <v>0</v>
      </c>
    </row>
    <row r="7" spans="1:5" hidden="1" x14ac:dyDescent="0.3">
      <c r="A7">
        <v>6</v>
      </c>
      <c r="B7">
        <v>0</v>
      </c>
      <c r="C7">
        <v>0</v>
      </c>
      <c r="D7">
        <v>0</v>
      </c>
      <c r="E7">
        <v>0</v>
      </c>
    </row>
    <row r="8" spans="1:5" x14ac:dyDescent="0.3">
      <c r="A8">
        <v>7</v>
      </c>
      <c r="B8">
        <v>7200</v>
      </c>
      <c r="C8">
        <v>14816</v>
      </c>
      <c r="D8">
        <v>4351.38</v>
      </c>
      <c r="E8">
        <v>3264.62</v>
      </c>
    </row>
    <row r="9" spans="1:5" hidden="1" x14ac:dyDescent="0.3">
      <c r="A9">
        <v>8</v>
      </c>
      <c r="B9">
        <v>0</v>
      </c>
      <c r="C9">
        <v>0</v>
      </c>
      <c r="D9">
        <v>0</v>
      </c>
      <c r="E9">
        <v>0</v>
      </c>
    </row>
    <row r="10" spans="1:5" hidden="1" x14ac:dyDescent="0.3">
      <c r="A10">
        <v>9</v>
      </c>
      <c r="B10">
        <v>0</v>
      </c>
      <c r="C10">
        <v>0</v>
      </c>
      <c r="D10">
        <v>0</v>
      </c>
      <c r="E10">
        <v>0</v>
      </c>
    </row>
    <row r="11" spans="1:5" hidden="1" x14ac:dyDescent="0.3">
      <c r="A11">
        <v>10</v>
      </c>
      <c r="B11">
        <v>0</v>
      </c>
      <c r="C11">
        <v>0</v>
      </c>
      <c r="D11">
        <v>0</v>
      </c>
      <c r="E11">
        <v>0</v>
      </c>
    </row>
    <row r="12" spans="1:5" hidden="1" x14ac:dyDescent="0.3">
      <c r="A12">
        <v>11</v>
      </c>
      <c r="B12">
        <v>0</v>
      </c>
      <c r="C12">
        <v>0</v>
      </c>
      <c r="D12">
        <v>0</v>
      </c>
      <c r="E12">
        <v>0</v>
      </c>
    </row>
    <row r="13" spans="1:5" hidden="1" x14ac:dyDescent="0.3">
      <c r="A13">
        <v>12</v>
      </c>
      <c r="B13">
        <v>0</v>
      </c>
      <c r="C13">
        <v>0</v>
      </c>
      <c r="D13">
        <v>0</v>
      </c>
      <c r="E13">
        <v>0</v>
      </c>
    </row>
    <row r="14" spans="1:5" hidden="1" x14ac:dyDescent="0.3">
      <c r="A14">
        <v>14</v>
      </c>
      <c r="B14">
        <v>0</v>
      </c>
      <c r="C14">
        <v>0</v>
      </c>
      <c r="D14">
        <v>0</v>
      </c>
      <c r="E14">
        <v>0</v>
      </c>
    </row>
    <row r="15" spans="1:5" hidden="1" x14ac:dyDescent="0.3">
      <c r="A15">
        <v>15</v>
      </c>
      <c r="B15">
        <v>0</v>
      </c>
      <c r="C15">
        <v>0</v>
      </c>
      <c r="D15">
        <v>0</v>
      </c>
      <c r="E15">
        <v>0</v>
      </c>
    </row>
    <row r="16" spans="1:5" hidden="1" x14ac:dyDescent="0.3">
      <c r="A16">
        <v>16</v>
      </c>
      <c r="B16">
        <v>0</v>
      </c>
      <c r="C16">
        <v>0</v>
      </c>
      <c r="D16">
        <v>0</v>
      </c>
      <c r="E16">
        <v>0</v>
      </c>
    </row>
    <row r="17" spans="1:5" hidden="1" x14ac:dyDescent="0.3">
      <c r="A17">
        <v>18</v>
      </c>
      <c r="B17">
        <v>0</v>
      </c>
      <c r="C17">
        <v>0</v>
      </c>
      <c r="D17">
        <v>0</v>
      </c>
      <c r="E17">
        <v>0</v>
      </c>
    </row>
    <row r="18" spans="1:5" hidden="1" x14ac:dyDescent="0.3">
      <c r="A18">
        <v>20</v>
      </c>
      <c r="B18">
        <v>0</v>
      </c>
      <c r="C18">
        <v>0</v>
      </c>
      <c r="D18">
        <v>0</v>
      </c>
      <c r="E18">
        <v>0</v>
      </c>
    </row>
    <row r="19" spans="1:5" x14ac:dyDescent="0.3">
      <c r="A19">
        <v>22</v>
      </c>
      <c r="B19">
        <v>7200</v>
      </c>
      <c r="C19">
        <v>17888</v>
      </c>
      <c r="D19">
        <v>4351.38</v>
      </c>
      <c r="E19">
        <v>6336.62</v>
      </c>
    </row>
    <row r="20" spans="1:5" x14ac:dyDescent="0.3">
      <c r="A20">
        <v>23</v>
      </c>
      <c r="B20">
        <v>7200</v>
      </c>
      <c r="C20">
        <v>17920</v>
      </c>
      <c r="D20">
        <v>4351.38</v>
      </c>
      <c r="E20">
        <v>6368.62</v>
      </c>
    </row>
    <row r="21" spans="1:5" x14ac:dyDescent="0.3">
      <c r="A21">
        <v>24</v>
      </c>
      <c r="B21">
        <v>7200</v>
      </c>
      <c r="C21">
        <v>13440</v>
      </c>
      <c r="D21">
        <v>3287.97</v>
      </c>
      <c r="E21">
        <v>2952.03</v>
      </c>
    </row>
    <row r="22" spans="1:5" x14ac:dyDescent="0.3">
      <c r="A22">
        <v>25</v>
      </c>
      <c r="B22">
        <v>7200</v>
      </c>
      <c r="C22">
        <v>12160</v>
      </c>
      <c r="D22">
        <v>3287.97</v>
      </c>
      <c r="E22">
        <v>1672.03</v>
      </c>
    </row>
    <row r="23" spans="1:5" x14ac:dyDescent="0.3">
      <c r="A23">
        <v>28</v>
      </c>
      <c r="B23">
        <v>7200</v>
      </c>
      <c r="C23">
        <v>15392</v>
      </c>
      <c r="D23">
        <v>4351.38</v>
      </c>
      <c r="E23">
        <v>3840.62</v>
      </c>
    </row>
    <row r="24" spans="1:5" hidden="1" x14ac:dyDescent="0.3">
      <c r="A24">
        <v>42</v>
      </c>
      <c r="B24">
        <v>0</v>
      </c>
      <c r="C24">
        <v>0</v>
      </c>
      <c r="D24">
        <v>0</v>
      </c>
      <c r="E24">
        <v>0</v>
      </c>
    </row>
    <row r="25" spans="1:5" hidden="1" x14ac:dyDescent="0.3">
      <c r="A25">
        <v>44</v>
      </c>
      <c r="B25">
        <v>0</v>
      </c>
      <c r="C25">
        <v>0</v>
      </c>
      <c r="D25">
        <v>0</v>
      </c>
      <c r="E25">
        <v>0</v>
      </c>
    </row>
    <row r="26" spans="1:5" hidden="1" x14ac:dyDescent="0.3">
      <c r="A26">
        <v>45</v>
      </c>
      <c r="B26">
        <v>0</v>
      </c>
      <c r="C26">
        <v>0</v>
      </c>
      <c r="D26">
        <v>0</v>
      </c>
      <c r="E26">
        <v>0</v>
      </c>
    </row>
    <row r="27" spans="1:5" x14ac:dyDescent="0.3">
      <c r="A27">
        <v>46</v>
      </c>
      <c r="B27">
        <v>7200</v>
      </c>
      <c r="C27">
        <v>11840</v>
      </c>
      <c r="D27">
        <v>1900.92</v>
      </c>
      <c r="E27">
        <v>2739.08</v>
      </c>
    </row>
    <row r="28" spans="1:5" x14ac:dyDescent="0.3">
      <c r="A28">
        <v>47</v>
      </c>
      <c r="B28">
        <v>7200</v>
      </c>
      <c r="C28">
        <v>13760</v>
      </c>
      <c r="D28">
        <v>3287.97</v>
      </c>
      <c r="E28">
        <v>3272.03</v>
      </c>
    </row>
    <row r="29" spans="1:5" x14ac:dyDescent="0.3">
      <c r="A29">
        <v>49</v>
      </c>
      <c r="B29">
        <v>7200</v>
      </c>
      <c r="C29">
        <v>13760</v>
      </c>
      <c r="D29">
        <v>3287.97</v>
      </c>
      <c r="E29">
        <v>3272.03</v>
      </c>
    </row>
    <row r="30" spans="1:5" x14ac:dyDescent="0.3">
      <c r="A30">
        <v>50</v>
      </c>
      <c r="B30">
        <v>7200</v>
      </c>
      <c r="C30">
        <v>17280</v>
      </c>
      <c r="D30">
        <v>4212.67</v>
      </c>
      <c r="E30">
        <v>5867.33</v>
      </c>
    </row>
    <row r="31" spans="1:5" hidden="1" x14ac:dyDescent="0.3">
      <c r="A31">
        <v>51</v>
      </c>
      <c r="B31">
        <v>0</v>
      </c>
      <c r="C31">
        <v>0</v>
      </c>
      <c r="D31">
        <v>0</v>
      </c>
      <c r="E31">
        <v>0</v>
      </c>
    </row>
    <row r="32" spans="1:5" x14ac:dyDescent="0.3">
      <c r="A32">
        <v>52</v>
      </c>
      <c r="B32">
        <v>7200</v>
      </c>
      <c r="C32">
        <v>13120</v>
      </c>
      <c r="D32">
        <v>4258.91</v>
      </c>
      <c r="E32">
        <v>1661.09</v>
      </c>
    </row>
    <row r="33" spans="1:5" hidden="1" x14ac:dyDescent="0.3">
      <c r="A33">
        <v>53</v>
      </c>
      <c r="B33">
        <v>0</v>
      </c>
      <c r="C33">
        <v>0</v>
      </c>
      <c r="D33">
        <v>0</v>
      </c>
      <c r="E33">
        <v>0</v>
      </c>
    </row>
    <row r="34" spans="1:5" hidden="1" x14ac:dyDescent="0.3">
      <c r="A34">
        <v>54</v>
      </c>
      <c r="B34">
        <v>0</v>
      </c>
      <c r="C34">
        <v>0</v>
      </c>
      <c r="D34">
        <v>0</v>
      </c>
      <c r="E34">
        <v>0</v>
      </c>
    </row>
    <row r="35" spans="1:5" hidden="1" x14ac:dyDescent="0.3">
      <c r="A35">
        <v>56</v>
      </c>
      <c r="B35">
        <v>0</v>
      </c>
      <c r="C35">
        <v>0</v>
      </c>
      <c r="D35">
        <v>0</v>
      </c>
      <c r="E35">
        <v>0</v>
      </c>
    </row>
    <row r="36" spans="1:5" hidden="1" x14ac:dyDescent="0.3">
      <c r="A36">
        <v>57</v>
      </c>
      <c r="B36">
        <v>0</v>
      </c>
      <c r="C36">
        <v>0</v>
      </c>
      <c r="D36">
        <v>0</v>
      </c>
      <c r="E36">
        <v>0</v>
      </c>
    </row>
    <row r="37" spans="1:5" hidden="1" x14ac:dyDescent="0.3">
      <c r="A37">
        <v>58</v>
      </c>
      <c r="B37">
        <v>0</v>
      </c>
      <c r="C37">
        <v>0</v>
      </c>
      <c r="D37">
        <v>0</v>
      </c>
      <c r="E37">
        <v>0</v>
      </c>
    </row>
    <row r="38" spans="1:5" x14ac:dyDescent="0.3">
      <c r="A38">
        <v>59</v>
      </c>
      <c r="B38">
        <v>7200</v>
      </c>
      <c r="C38">
        <v>13120</v>
      </c>
      <c r="D38">
        <v>4351.38</v>
      </c>
      <c r="E38">
        <v>1568.62</v>
      </c>
    </row>
    <row r="39" spans="1:5" hidden="1" x14ac:dyDescent="0.3">
      <c r="A39">
        <v>60</v>
      </c>
      <c r="B39">
        <v>0</v>
      </c>
      <c r="C39">
        <v>0</v>
      </c>
      <c r="D39">
        <v>0</v>
      </c>
      <c r="E39">
        <v>0</v>
      </c>
    </row>
    <row r="40" spans="1:5" hidden="1" x14ac:dyDescent="0.3">
      <c r="A40">
        <v>61</v>
      </c>
      <c r="B40">
        <v>0</v>
      </c>
      <c r="C40">
        <v>0</v>
      </c>
      <c r="D40">
        <v>0</v>
      </c>
      <c r="E40">
        <v>0</v>
      </c>
    </row>
    <row r="41" spans="1:5" hidden="1" x14ac:dyDescent="0.3">
      <c r="A41">
        <v>62</v>
      </c>
      <c r="B41">
        <v>0</v>
      </c>
      <c r="C41">
        <v>0</v>
      </c>
      <c r="D41">
        <v>0</v>
      </c>
      <c r="E41">
        <v>0</v>
      </c>
    </row>
    <row r="42" spans="1:5" hidden="1" x14ac:dyDescent="0.3">
      <c r="A42">
        <v>64</v>
      </c>
      <c r="B42">
        <v>0</v>
      </c>
      <c r="C42">
        <v>0</v>
      </c>
      <c r="D42">
        <v>0</v>
      </c>
      <c r="E42">
        <v>0</v>
      </c>
    </row>
    <row r="43" spans="1:5" x14ac:dyDescent="0.3">
      <c r="A43">
        <v>66</v>
      </c>
      <c r="B43">
        <v>7200</v>
      </c>
      <c r="C43">
        <v>16000</v>
      </c>
      <c r="D43">
        <v>4120.2</v>
      </c>
      <c r="E43">
        <v>4679.8</v>
      </c>
    </row>
    <row r="44" spans="1:5" hidden="1" x14ac:dyDescent="0.3">
      <c r="A44">
        <v>69</v>
      </c>
      <c r="B44">
        <v>0</v>
      </c>
      <c r="C44">
        <v>0</v>
      </c>
      <c r="D44">
        <v>0</v>
      </c>
      <c r="E44">
        <v>0</v>
      </c>
    </row>
    <row r="45" spans="1:5" hidden="1" x14ac:dyDescent="0.3">
      <c r="A45">
        <v>70</v>
      </c>
      <c r="B45">
        <v>0</v>
      </c>
      <c r="C45">
        <v>0</v>
      </c>
      <c r="D45">
        <v>0</v>
      </c>
      <c r="E45">
        <v>0</v>
      </c>
    </row>
    <row r="46" spans="1:5" hidden="1" x14ac:dyDescent="0.3">
      <c r="A46">
        <v>71</v>
      </c>
      <c r="B46">
        <v>0</v>
      </c>
      <c r="C46">
        <v>0</v>
      </c>
      <c r="D46">
        <v>0</v>
      </c>
      <c r="E46">
        <v>0</v>
      </c>
    </row>
    <row r="47" spans="1:5" hidden="1" x14ac:dyDescent="0.3">
      <c r="A47">
        <v>74</v>
      </c>
      <c r="B47">
        <v>0</v>
      </c>
      <c r="C47">
        <v>0</v>
      </c>
      <c r="D47">
        <v>0</v>
      </c>
      <c r="E47">
        <v>0</v>
      </c>
    </row>
    <row r="48" spans="1:5" hidden="1" x14ac:dyDescent="0.3">
      <c r="A48">
        <v>75</v>
      </c>
      <c r="B48">
        <v>0</v>
      </c>
      <c r="C48">
        <v>0</v>
      </c>
      <c r="D48">
        <v>0</v>
      </c>
      <c r="E48">
        <v>0</v>
      </c>
    </row>
    <row r="49" spans="1:5" hidden="1" x14ac:dyDescent="0.3">
      <c r="A49">
        <v>76</v>
      </c>
      <c r="B49">
        <v>0</v>
      </c>
      <c r="C49">
        <v>0</v>
      </c>
      <c r="D49">
        <v>0</v>
      </c>
      <c r="E49">
        <v>0</v>
      </c>
    </row>
    <row r="50" spans="1:5" hidden="1" x14ac:dyDescent="0.3">
      <c r="A50">
        <v>77</v>
      </c>
      <c r="B50">
        <v>0</v>
      </c>
      <c r="C50">
        <v>0</v>
      </c>
      <c r="D50">
        <v>0</v>
      </c>
      <c r="E50">
        <v>0</v>
      </c>
    </row>
    <row r="51" spans="1:5" hidden="1" x14ac:dyDescent="0.3">
      <c r="A51">
        <v>78</v>
      </c>
      <c r="B51">
        <v>0</v>
      </c>
      <c r="C51">
        <v>0</v>
      </c>
      <c r="D51">
        <v>0</v>
      </c>
      <c r="E51">
        <v>0</v>
      </c>
    </row>
    <row r="52" spans="1:5" hidden="1" x14ac:dyDescent="0.3">
      <c r="A52">
        <v>79</v>
      </c>
      <c r="B52">
        <v>0</v>
      </c>
      <c r="C52">
        <v>0</v>
      </c>
      <c r="D52">
        <v>0</v>
      </c>
      <c r="E52">
        <v>0</v>
      </c>
    </row>
    <row r="53" spans="1:5" hidden="1" x14ac:dyDescent="0.3">
      <c r="A53">
        <v>80</v>
      </c>
      <c r="B53">
        <v>0</v>
      </c>
      <c r="C53">
        <v>0</v>
      </c>
      <c r="D53">
        <v>0</v>
      </c>
      <c r="E53">
        <v>0</v>
      </c>
    </row>
    <row r="54" spans="1:5" hidden="1" x14ac:dyDescent="0.3">
      <c r="A54">
        <v>84</v>
      </c>
      <c r="B54">
        <v>0</v>
      </c>
      <c r="C54">
        <v>0</v>
      </c>
      <c r="D54">
        <v>0</v>
      </c>
      <c r="E54">
        <v>0</v>
      </c>
    </row>
    <row r="55" spans="1:5" hidden="1" x14ac:dyDescent="0.3">
      <c r="A55">
        <v>85</v>
      </c>
      <c r="B55">
        <v>0</v>
      </c>
      <c r="C55">
        <v>0</v>
      </c>
      <c r="D55">
        <v>0</v>
      </c>
      <c r="E55">
        <v>0</v>
      </c>
    </row>
    <row r="56" spans="1:5" hidden="1" x14ac:dyDescent="0.3">
      <c r="A56">
        <v>86</v>
      </c>
      <c r="B56">
        <v>0</v>
      </c>
      <c r="C56">
        <v>0</v>
      </c>
      <c r="D56">
        <v>0</v>
      </c>
      <c r="E56">
        <v>0</v>
      </c>
    </row>
    <row r="57" spans="1:5" hidden="1" x14ac:dyDescent="0.3">
      <c r="A57">
        <v>87</v>
      </c>
      <c r="B57">
        <v>0</v>
      </c>
      <c r="C57">
        <v>0</v>
      </c>
      <c r="D57">
        <v>0</v>
      </c>
      <c r="E57">
        <v>0</v>
      </c>
    </row>
    <row r="58" spans="1:5" hidden="1" x14ac:dyDescent="0.3">
      <c r="A58">
        <v>89</v>
      </c>
      <c r="B58">
        <v>0</v>
      </c>
      <c r="C58">
        <v>0</v>
      </c>
      <c r="D58">
        <v>0</v>
      </c>
      <c r="E58">
        <v>0</v>
      </c>
    </row>
    <row r="59" spans="1:5" hidden="1" x14ac:dyDescent="0.3">
      <c r="A59">
        <v>90</v>
      </c>
      <c r="B59">
        <v>0</v>
      </c>
      <c r="C59">
        <v>0</v>
      </c>
      <c r="D59">
        <v>0</v>
      </c>
      <c r="E59">
        <v>0</v>
      </c>
    </row>
    <row r="60" spans="1:5" x14ac:dyDescent="0.3">
      <c r="A60">
        <v>91</v>
      </c>
      <c r="B60">
        <v>7200</v>
      </c>
      <c r="C60">
        <v>16960</v>
      </c>
      <c r="D60">
        <v>4120.2</v>
      </c>
      <c r="E60">
        <v>5639.8</v>
      </c>
    </row>
    <row r="61" spans="1:5" hidden="1" x14ac:dyDescent="0.3">
      <c r="A61">
        <v>92</v>
      </c>
      <c r="B61">
        <v>0</v>
      </c>
      <c r="C61">
        <v>0</v>
      </c>
      <c r="D61">
        <v>0</v>
      </c>
      <c r="E61">
        <v>0</v>
      </c>
    </row>
    <row r="62" spans="1:5" hidden="1" x14ac:dyDescent="0.3">
      <c r="A62">
        <v>93</v>
      </c>
      <c r="B62">
        <v>0</v>
      </c>
      <c r="C62">
        <v>0</v>
      </c>
      <c r="D62">
        <v>0</v>
      </c>
      <c r="E62">
        <v>0</v>
      </c>
    </row>
    <row r="63" spans="1:5" hidden="1" x14ac:dyDescent="0.3">
      <c r="A63">
        <v>96</v>
      </c>
      <c r="B63">
        <v>0</v>
      </c>
      <c r="C63">
        <v>0</v>
      </c>
      <c r="D63">
        <v>0</v>
      </c>
      <c r="E63">
        <v>0</v>
      </c>
    </row>
    <row r="64" spans="1:5" x14ac:dyDescent="0.3">
      <c r="A64">
        <v>99</v>
      </c>
      <c r="B64">
        <v>7200</v>
      </c>
      <c r="C64">
        <v>16960</v>
      </c>
      <c r="D64">
        <v>3287.97</v>
      </c>
      <c r="E64">
        <v>6472.03</v>
      </c>
    </row>
    <row r="65" spans="1:5" hidden="1" x14ac:dyDescent="0.3">
      <c r="A65">
        <v>100</v>
      </c>
      <c r="B65">
        <v>0</v>
      </c>
      <c r="C65">
        <v>0</v>
      </c>
      <c r="D65">
        <v>0</v>
      </c>
      <c r="E65">
        <v>0</v>
      </c>
    </row>
    <row r="66" spans="1:5" x14ac:dyDescent="0.3">
      <c r="A66">
        <v>101</v>
      </c>
      <c r="B66">
        <v>7200</v>
      </c>
      <c r="C66">
        <v>12160</v>
      </c>
      <c r="D66">
        <v>1623</v>
      </c>
      <c r="E66">
        <v>3337</v>
      </c>
    </row>
    <row r="67" spans="1:5" hidden="1" x14ac:dyDescent="0.3">
      <c r="A67">
        <v>103</v>
      </c>
      <c r="B67">
        <v>0</v>
      </c>
      <c r="C67">
        <v>0</v>
      </c>
      <c r="D67">
        <v>0</v>
      </c>
      <c r="E67">
        <v>0</v>
      </c>
    </row>
    <row r="68" spans="1:5" hidden="1" x14ac:dyDescent="0.3">
      <c r="A68">
        <v>105</v>
      </c>
      <c r="B68">
        <v>0</v>
      </c>
      <c r="C68">
        <v>0</v>
      </c>
      <c r="D68">
        <v>0</v>
      </c>
      <c r="E68">
        <v>0</v>
      </c>
    </row>
    <row r="69" spans="1:5" hidden="1" x14ac:dyDescent="0.3">
      <c r="A69">
        <v>106</v>
      </c>
      <c r="B69">
        <v>0</v>
      </c>
      <c r="C69">
        <v>0</v>
      </c>
      <c r="D69">
        <v>0</v>
      </c>
      <c r="E69">
        <v>0</v>
      </c>
    </row>
    <row r="70" spans="1:5" hidden="1" x14ac:dyDescent="0.3">
      <c r="A70">
        <v>107</v>
      </c>
      <c r="B70">
        <v>0</v>
      </c>
      <c r="C70">
        <v>0</v>
      </c>
      <c r="D70">
        <v>0</v>
      </c>
      <c r="E70">
        <v>0</v>
      </c>
    </row>
    <row r="71" spans="1:5" hidden="1" x14ac:dyDescent="0.3">
      <c r="A71">
        <v>108</v>
      </c>
      <c r="B71">
        <v>0</v>
      </c>
      <c r="C71">
        <v>0</v>
      </c>
      <c r="D71">
        <v>0</v>
      </c>
      <c r="E71">
        <v>0</v>
      </c>
    </row>
    <row r="72" spans="1:5" hidden="1" x14ac:dyDescent="0.3">
      <c r="A72">
        <v>109</v>
      </c>
      <c r="B72">
        <v>0</v>
      </c>
      <c r="C72">
        <v>0</v>
      </c>
      <c r="D72">
        <v>0</v>
      </c>
      <c r="E72">
        <v>0</v>
      </c>
    </row>
    <row r="73" spans="1:5" hidden="1" x14ac:dyDescent="0.3">
      <c r="A73">
        <v>110</v>
      </c>
      <c r="B73">
        <v>0</v>
      </c>
      <c r="C73">
        <v>0</v>
      </c>
      <c r="D73">
        <v>0</v>
      </c>
      <c r="E73">
        <v>0</v>
      </c>
    </row>
    <row r="74" spans="1:5" hidden="1" x14ac:dyDescent="0.3">
      <c r="A74">
        <v>111</v>
      </c>
      <c r="B74">
        <v>0</v>
      </c>
      <c r="C74">
        <v>0</v>
      </c>
      <c r="D74">
        <v>0</v>
      </c>
      <c r="E74">
        <v>0</v>
      </c>
    </row>
    <row r="75" spans="1:5" hidden="1" x14ac:dyDescent="0.3">
      <c r="A75">
        <v>112</v>
      </c>
      <c r="B75">
        <v>0</v>
      </c>
      <c r="C75">
        <v>0</v>
      </c>
      <c r="D75">
        <v>0</v>
      </c>
      <c r="E75">
        <v>0</v>
      </c>
    </row>
    <row r="76" spans="1:5" x14ac:dyDescent="0.3">
      <c r="A76">
        <v>114</v>
      </c>
      <c r="B76">
        <v>7200</v>
      </c>
      <c r="C76">
        <v>16928</v>
      </c>
      <c r="D76">
        <v>4351.38</v>
      </c>
      <c r="E76">
        <v>5376.62</v>
      </c>
    </row>
    <row r="77" spans="1:5" hidden="1" x14ac:dyDescent="0.3">
      <c r="A77">
        <v>115</v>
      </c>
      <c r="B77">
        <v>0</v>
      </c>
      <c r="C77">
        <v>0</v>
      </c>
      <c r="D77">
        <v>0</v>
      </c>
      <c r="E77">
        <v>0</v>
      </c>
    </row>
    <row r="78" spans="1:5" hidden="1" x14ac:dyDescent="0.3">
      <c r="A78">
        <v>119</v>
      </c>
      <c r="B78">
        <v>0</v>
      </c>
      <c r="C78">
        <v>0</v>
      </c>
      <c r="D78">
        <v>0</v>
      </c>
      <c r="E78">
        <v>0</v>
      </c>
    </row>
    <row r="79" spans="1:5" hidden="1" x14ac:dyDescent="0.3">
      <c r="A79">
        <v>120</v>
      </c>
      <c r="B79">
        <v>0</v>
      </c>
      <c r="C79">
        <v>0</v>
      </c>
      <c r="D79">
        <v>0</v>
      </c>
      <c r="E79">
        <v>0</v>
      </c>
    </row>
    <row r="80" spans="1:5" hidden="1" x14ac:dyDescent="0.3">
      <c r="A80">
        <v>121</v>
      </c>
      <c r="B80">
        <v>0</v>
      </c>
      <c r="C80">
        <v>0</v>
      </c>
      <c r="D80">
        <v>0</v>
      </c>
      <c r="E80">
        <v>0</v>
      </c>
    </row>
    <row r="81" spans="1:5" hidden="1" x14ac:dyDescent="0.3">
      <c r="A81">
        <v>125</v>
      </c>
      <c r="B81">
        <v>0</v>
      </c>
      <c r="C81">
        <v>0</v>
      </c>
      <c r="D81">
        <v>0</v>
      </c>
      <c r="E81">
        <v>0</v>
      </c>
    </row>
    <row r="82" spans="1:5" hidden="1" x14ac:dyDescent="0.3">
      <c r="A82">
        <v>127</v>
      </c>
      <c r="B82">
        <v>0</v>
      </c>
      <c r="C82">
        <v>0</v>
      </c>
      <c r="D82">
        <v>0</v>
      </c>
      <c r="E82">
        <v>0</v>
      </c>
    </row>
    <row r="83" spans="1:5" hidden="1" x14ac:dyDescent="0.3">
      <c r="A83">
        <v>128</v>
      </c>
      <c r="B83">
        <v>0</v>
      </c>
      <c r="C83">
        <v>0</v>
      </c>
      <c r="D83">
        <v>0</v>
      </c>
      <c r="E83">
        <v>0</v>
      </c>
    </row>
    <row r="84" spans="1:5" x14ac:dyDescent="0.3">
      <c r="A84">
        <v>129</v>
      </c>
      <c r="B84">
        <v>7200</v>
      </c>
      <c r="C84">
        <v>18016</v>
      </c>
      <c r="D84">
        <v>4351.38</v>
      </c>
      <c r="E84">
        <v>6464.62</v>
      </c>
    </row>
    <row r="85" spans="1:5" hidden="1" x14ac:dyDescent="0.3">
      <c r="A85">
        <v>132</v>
      </c>
      <c r="B85">
        <v>0</v>
      </c>
      <c r="C85">
        <v>0</v>
      </c>
      <c r="D85">
        <v>0</v>
      </c>
      <c r="E85">
        <v>0</v>
      </c>
    </row>
    <row r="86" spans="1:5" hidden="1" x14ac:dyDescent="0.3">
      <c r="A86">
        <v>134</v>
      </c>
      <c r="B86">
        <v>0</v>
      </c>
      <c r="C86">
        <v>0</v>
      </c>
      <c r="D86">
        <v>0</v>
      </c>
      <c r="E86">
        <v>0</v>
      </c>
    </row>
    <row r="87" spans="1:5" hidden="1" x14ac:dyDescent="0.3">
      <c r="A87">
        <v>135</v>
      </c>
      <c r="B87">
        <v>0</v>
      </c>
      <c r="C87">
        <v>0</v>
      </c>
      <c r="D87">
        <v>0</v>
      </c>
      <c r="E87">
        <v>0</v>
      </c>
    </row>
    <row r="88" spans="1:5" hidden="1" x14ac:dyDescent="0.3">
      <c r="A88">
        <v>137</v>
      </c>
      <c r="B88">
        <v>0</v>
      </c>
      <c r="C88">
        <v>0</v>
      </c>
      <c r="D88">
        <v>0</v>
      </c>
      <c r="E88">
        <v>0</v>
      </c>
    </row>
    <row r="89" spans="1:5" hidden="1" x14ac:dyDescent="0.3">
      <c r="A89">
        <v>138</v>
      </c>
      <c r="B89">
        <v>0</v>
      </c>
      <c r="C89">
        <v>0</v>
      </c>
      <c r="D89">
        <v>0</v>
      </c>
      <c r="E89">
        <v>0</v>
      </c>
    </row>
    <row r="90" spans="1:5" hidden="1" x14ac:dyDescent="0.3">
      <c r="A90">
        <v>140</v>
      </c>
      <c r="B90">
        <v>0</v>
      </c>
      <c r="C90">
        <v>0</v>
      </c>
      <c r="D90">
        <v>0</v>
      </c>
      <c r="E90">
        <v>0</v>
      </c>
    </row>
    <row r="91" spans="1:5" hidden="1" x14ac:dyDescent="0.3">
      <c r="A91">
        <v>141</v>
      </c>
      <c r="B91">
        <v>0</v>
      </c>
      <c r="C91">
        <v>0</v>
      </c>
      <c r="D91">
        <v>0</v>
      </c>
      <c r="E91">
        <v>0</v>
      </c>
    </row>
    <row r="92" spans="1:5" hidden="1" x14ac:dyDescent="0.3">
      <c r="A92">
        <v>143</v>
      </c>
      <c r="B92">
        <v>0</v>
      </c>
      <c r="C92">
        <v>0</v>
      </c>
      <c r="D92">
        <v>0</v>
      </c>
      <c r="E92">
        <v>0</v>
      </c>
    </row>
    <row r="93" spans="1:5" hidden="1" x14ac:dyDescent="0.3">
      <c r="A93">
        <v>146</v>
      </c>
      <c r="B93">
        <v>0</v>
      </c>
      <c r="C93">
        <v>0</v>
      </c>
      <c r="D93">
        <v>0</v>
      </c>
      <c r="E93">
        <v>0</v>
      </c>
    </row>
    <row r="94" spans="1:5" hidden="1" x14ac:dyDescent="0.3">
      <c r="A94">
        <v>147</v>
      </c>
      <c r="B94">
        <v>0</v>
      </c>
      <c r="C94">
        <v>0</v>
      </c>
      <c r="D94">
        <v>0</v>
      </c>
      <c r="E94">
        <v>0</v>
      </c>
    </row>
    <row r="95" spans="1:5" hidden="1" x14ac:dyDescent="0.3">
      <c r="A95">
        <v>149</v>
      </c>
      <c r="B95">
        <v>0</v>
      </c>
      <c r="C95">
        <v>0</v>
      </c>
      <c r="D95">
        <v>0</v>
      </c>
      <c r="E95">
        <v>0</v>
      </c>
    </row>
    <row r="96" spans="1:5" hidden="1" x14ac:dyDescent="0.3">
      <c r="A96">
        <v>150</v>
      </c>
      <c r="B96">
        <v>0</v>
      </c>
      <c r="C96">
        <v>0</v>
      </c>
      <c r="D96">
        <v>0</v>
      </c>
      <c r="E96">
        <v>0</v>
      </c>
    </row>
    <row r="97" spans="1:5" hidden="1" x14ac:dyDescent="0.3">
      <c r="A97">
        <v>151</v>
      </c>
      <c r="B97">
        <v>0</v>
      </c>
      <c r="C97">
        <v>0</v>
      </c>
      <c r="D97">
        <v>0</v>
      </c>
      <c r="E97">
        <v>0</v>
      </c>
    </row>
    <row r="98" spans="1:5" hidden="1" x14ac:dyDescent="0.3">
      <c r="A98">
        <v>152</v>
      </c>
      <c r="B98">
        <v>0</v>
      </c>
      <c r="C98">
        <v>0</v>
      </c>
      <c r="D98">
        <v>0</v>
      </c>
      <c r="E98">
        <v>0</v>
      </c>
    </row>
    <row r="99" spans="1:5" hidden="1" x14ac:dyDescent="0.3">
      <c r="A99">
        <v>155</v>
      </c>
      <c r="B99">
        <v>0</v>
      </c>
      <c r="C99">
        <v>0</v>
      </c>
      <c r="D99">
        <v>0</v>
      </c>
      <c r="E99">
        <v>0</v>
      </c>
    </row>
    <row r="100" spans="1:5" hidden="1" x14ac:dyDescent="0.3">
      <c r="A100">
        <v>158</v>
      </c>
      <c r="B100">
        <v>0</v>
      </c>
      <c r="C100">
        <v>0</v>
      </c>
      <c r="D100">
        <v>0</v>
      </c>
      <c r="E100">
        <v>0</v>
      </c>
    </row>
    <row r="101" spans="1:5" hidden="1" x14ac:dyDescent="0.3">
      <c r="A101">
        <v>163</v>
      </c>
      <c r="B101">
        <v>0</v>
      </c>
      <c r="C101">
        <v>0</v>
      </c>
      <c r="D101">
        <v>0</v>
      </c>
      <c r="E101">
        <v>0</v>
      </c>
    </row>
    <row r="102" spans="1:5" hidden="1" x14ac:dyDescent="0.3">
      <c r="A102">
        <v>164</v>
      </c>
      <c r="B102">
        <v>0</v>
      </c>
      <c r="C102">
        <v>0</v>
      </c>
      <c r="D102">
        <v>0</v>
      </c>
      <c r="E102">
        <v>0</v>
      </c>
    </row>
    <row r="103" spans="1:5" hidden="1" x14ac:dyDescent="0.3">
      <c r="A103">
        <v>165</v>
      </c>
      <c r="B103">
        <v>0</v>
      </c>
      <c r="C103">
        <v>0</v>
      </c>
      <c r="D103">
        <v>0</v>
      </c>
      <c r="E103">
        <v>0</v>
      </c>
    </row>
    <row r="104" spans="1:5" hidden="1" x14ac:dyDescent="0.3">
      <c r="A104">
        <v>167</v>
      </c>
      <c r="B104">
        <v>0</v>
      </c>
      <c r="C104">
        <v>0</v>
      </c>
      <c r="D104">
        <v>0</v>
      </c>
      <c r="E104">
        <v>0</v>
      </c>
    </row>
    <row r="105" spans="1:5" hidden="1" x14ac:dyDescent="0.3">
      <c r="A105">
        <v>168</v>
      </c>
      <c r="B105">
        <v>0</v>
      </c>
      <c r="C105">
        <v>0</v>
      </c>
      <c r="D105">
        <v>0</v>
      </c>
      <c r="E105">
        <v>0</v>
      </c>
    </row>
    <row r="106" spans="1:5" x14ac:dyDescent="0.3">
      <c r="A106">
        <v>169</v>
      </c>
      <c r="B106">
        <v>7200</v>
      </c>
      <c r="C106">
        <v>16640</v>
      </c>
      <c r="D106">
        <v>4212.67</v>
      </c>
      <c r="E106">
        <v>5227.33</v>
      </c>
    </row>
    <row r="107" spans="1:5" x14ac:dyDescent="0.3">
      <c r="A107">
        <v>170</v>
      </c>
      <c r="B107">
        <v>7200</v>
      </c>
      <c r="C107">
        <v>15040</v>
      </c>
      <c r="D107">
        <v>3287.97</v>
      </c>
      <c r="E107">
        <v>4552.03</v>
      </c>
    </row>
    <row r="108" spans="1:5" x14ac:dyDescent="0.3">
      <c r="A108">
        <v>171</v>
      </c>
      <c r="B108">
        <v>7200</v>
      </c>
      <c r="C108">
        <v>16800</v>
      </c>
      <c r="D108">
        <v>4073.97</v>
      </c>
      <c r="E108">
        <v>5526.03</v>
      </c>
    </row>
    <row r="109" spans="1:5" x14ac:dyDescent="0.3">
      <c r="A109">
        <v>172</v>
      </c>
      <c r="B109">
        <v>7200</v>
      </c>
      <c r="C109">
        <v>14912</v>
      </c>
      <c r="D109">
        <v>4351.38</v>
      </c>
      <c r="E109">
        <v>3360.62</v>
      </c>
    </row>
    <row r="110" spans="1:5" x14ac:dyDescent="0.3">
      <c r="A110">
        <v>173</v>
      </c>
      <c r="B110">
        <v>7200</v>
      </c>
      <c r="C110">
        <v>16800</v>
      </c>
      <c r="D110">
        <v>4351.38</v>
      </c>
      <c r="E110">
        <v>5248.62</v>
      </c>
    </row>
    <row r="111" spans="1:5" x14ac:dyDescent="0.3">
      <c r="A111">
        <v>174</v>
      </c>
      <c r="B111">
        <v>7200</v>
      </c>
      <c r="C111">
        <v>16960</v>
      </c>
      <c r="D111">
        <v>4258.91</v>
      </c>
      <c r="E111">
        <v>5501.09</v>
      </c>
    </row>
    <row r="112" spans="1:5" x14ac:dyDescent="0.3">
      <c r="A112">
        <v>175</v>
      </c>
      <c r="B112">
        <v>7200</v>
      </c>
      <c r="C112">
        <v>15040</v>
      </c>
      <c r="D112">
        <v>4212.67</v>
      </c>
      <c r="E112">
        <v>3627.33</v>
      </c>
    </row>
    <row r="113" spans="1:5" x14ac:dyDescent="0.3">
      <c r="A113">
        <v>176</v>
      </c>
      <c r="B113">
        <v>7200</v>
      </c>
      <c r="C113">
        <v>12480</v>
      </c>
      <c r="D113">
        <v>3287.97</v>
      </c>
      <c r="E113">
        <v>1992.03</v>
      </c>
    </row>
    <row r="114" spans="1:5" x14ac:dyDescent="0.3">
      <c r="A114">
        <v>177</v>
      </c>
      <c r="B114">
        <v>7200</v>
      </c>
      <c r="C114">
        <v>14720</v>
      </c>
      <c r="D114">
        <v>3287.97</v>
      </c>
      <c r="E114">
        <v>4232.03</v>
      </c>
    </row>
    <row r="115" spans="1:5" x14ac:dyDescent="0.3">
      <c r="A115">
        <v>178</v>
      </c>
      <c r="B115">
        <v>7200</v>
      </c>
      <c r="C115">
        <v>19200</v>
      </c>
      <c r="D115">
        <v>1900.92</v>
      </c>
      <c r="E115">
        <v>10099.08</v>
      </c>
    </row>
    <row r="116" spans="1:5" x14ac:dyDescent="0.3">
      <c r="A116">
        <v>179</v>
      </c>
      <c r="B116">
        <v>7200</v>
      </c>
      <c r="C116">
        <v>15360</v>
      </c>
      <c r="D116">
        <v>4351.38</v>
      </c>
      <c r="E116">
        <v>3808.62</v>
      </c>
    </row>
    <row r="117" spans="1:5" hidden="1" x14ac:dyDescent="0.3">
      <c r="A117">
        <v>182</v>
      </c>
      <c r="B117">
        <v>0</v>
      </c>
      <c r="C117">
        <v>0</v>
      </c>
      <c r="D117">
        <v>0</v>
      </c>
      <c r="E117">
        <v>0</v>
      </c>
    </row>
    <row r="118" spans="1:5" hidden="1" x14ac:dyDescent="0.3">
      <c r="A118">
        <v>183</v>
      </c>
      <c r="B118">
        <v>0</v>
      </c>
      <c r="C118">
        <v>0</v>
      </c>
      <c r="D118">
        <v>0</v>
      </c>
      <c r="E118">
        <v>0</v>
      </c>
    </row>
    <row r="119" spans="1:5" hidden="1" x14ac:dyDescent="0.3">
      <c r="A119">
        <v>184</v>
      </c>
      <c r="B119">
        <v>0</v>
      </c>
      <c r="C119">
        <v>0</v>
      </c>
      <c r="D119">
        <v>0</v>
      </c>
      <c r="E119">
        <v>0</v>
      </c>
    </row>
    <row r="120" spans="1:5" hidden="1" x14ac:dyDescent="0.3">
      <c r="A120">
        <v>185</v>
      </c>
      <c r="B120">
        <v>0</v>
      </c>
      <c r="C120">
        <v>0</v>
      </c>
      <c r="D120">
        <v>0</v>
      </c>
      <c r="E120">
        <v>0</v>
      </c>
    </row>
    <row r="121" spans="1:5" hidden="1" x14ac:dyDescent="0.3">
      <c r="A121">
        <v>186</v>
      </c>
      <c r="B121">
        <v>0</v>
      </c>
      <c r="C121">
        <v>0</v>
      </c>
      <c r="D121">
        <v>0</v>
      </c>
      <c r="E121">
        <v>0</v>
      </c>
    </row>
    <row r="122" spans="1:5" hidden="1" x14ac:dyDescent="0.3">
      <c r="A122">
        <v>187</v>
      </c>
      <c r="B122">
        <v>0</v>
      </c>
      <c r="C122">
        <v>0</v>
      </c>
      <c r="D122">
        <v>0</v>
      </c>
      <c r="E122">
        <v>0</v>
      </c>
    </row>
    <row r="123" spans="1:5" hidden="1" x14ac:dyDescent="0.3">
      <c r="A123">
        <v>190</v>
      </c>
      <c r="B123">
        <v>0</v>
      </c>
      <c r="C123">
        <v>0</v>
      </c>
      <c r="D123">
        <v>0</v>
      </c>
      <c r="E123">
        <v>0</v>
      </c>
    </row>
    <row r="124" spans="1:5" hidden="1" x14ac:dyDescent="0.3">
      <c r="A124">
        <v>191</v>
      </c>
      <c r="B124">
        <v>0</v>
      </c>
      <c r="C124">
        <v>0</v>
      </c>
      <c r="D124">
        <v>0</v>
      </c>
      <c r="E124">
        <v>0</v>
      </c>
    </row>
    <row r="125" spans="1:5" hidden="1" x14ac:dyDescent="0.3">
      <c r="A125">
        <v>192</v>
      </c>
      <c r="B125">
        <v>0</v>
      </c>
      <c r="C125">
        <v>0</v>
      </c>
      <c r="D125">
        <v>0</v>
      </c>
      <c r="E125">
        <v>0</v>
      </c>
    </row>
    <row r="126" spans="1:5" hidden="1" x14ac:dyDescent="0.3">
      <c r="A126">
        <v>193</v>
      </c>
      <c r="B126">
        <v>0</v>
      </c>
      <c r="C126">
        <v>0</v>
      </c>
      <c r="D126">
        <v>0</v>
      </c>
      <c r="E126">
        <v>0</v>
      </c>
    </row>
    <row r="127" spans="1:5" hidden="1" x14ac:dyDescent="0.3">
      <c r="A127">
        <v>195</v>
      </c>
      <c r="B127">
        <v>0</v>
      </c>
      <c r="C127">
        <v>0</v>
      </c>
      <c r="D127">
        <v>0</v>
      </c>
      <c r="E127">
        <v>0</v>
      </c>
    </row>
    <row r="128" spans="1:5" hidden="1" x14ac:dyDescent="0.3">
      <c r="A128">
        <v>196</v>
      </c>
      <c r="B128">
        <v>0</v>
      </c>
      <c r="C128">
        <v>0</v>
      </c>
      <c r="D128">
        <v>0</v>
      </c>
      <c r="E128">
        <v>0</v>
      </c>
    </row>
    <row r="129" spans="1:5" x14ac:dyDescent="0.3">
      <c r="A129">
        <v>197</v>
      </c>
      <c r="B129">
        <v>7200</v>
      </c>
      <c r="C129">
        <v>15040</v>
      </c>
      <c r="D129">
        <v>4351.38</v>
      </c>
      <c r="E129">
        <v>3488.62</v>
      </c>
    </row>
    <row r="130" spans="1:5" x14ac:dyDescent="0.3">
      <c r="A130">
        <v>198</v>
      </c>
      <c r="B130">
        <v>7200</v>
      </c>
      <c r="C130">
        <v>15680</v>
      </c>
      <c r="D130">
        <v>4212.67</v>
      </c>
      <c r="E130">
        <v>4267.33</v>
      </c>
    </row>
    <row r="131" spans="1:5" x14ac:dyDescent="0.3">
      <c r="A131">
        <v>199</v>
      </c>
      <c r="B131">
        <v>7200</v>
      </c>
      <c r="C131">
        <v>16896</v>
      </c>
      <c r="D131">
        <v>4073.97</v>
      </c>
      <c r="E131">
        <v>5622.03</v>
      </c>
    </row>
    <row r="132" spans="1:5" x14ac:dyDescent="0.3">
      <c r="A132">
        <v>200</v>
      </c>
      <c r="B132">
        <v>7200</v>
      </c>
      <c r="C132">
        <v>13632</v>
      </c>
      <c r="D132">
        <v>4351.38</v>
      </c>
      <c r="E132">
        <v>2080.62</v>
      </c>
    </row>
    <row r="133" spans="1:5" hidden="1" x14ac:dyDescent="0.3">
      <c r="A133">
        <v>301</v>
      </c>
      <c r="B133">
        <v>0</v>
      </c>
      <c r="C133">
        <v>0</v>
      </c>
      <c r="D133">
        <v>0</v>
      </c>
      <c r="E133">
        <v>0</v>
      </c>
    </row>
    <row r="134" spans="1:5" hidden="1" x14ac:dyDescent="0.3">
      <c r="A134">
        <v>302</v>
      </c>
      <c r="B134">
        <v>0</v>
      </c>
      <c r="C134">
        <v>0</v>
      </c>
      <c r="D134">
        <v>0</v>
      </c>
      <c r="E134">
        <v>0</v>
      </c>
    </row>
    <row r="135" spans="1:5" hidden="1" x14ac:dyDescent="0.3">
      <c r="A135">
        <v>303</v>
      </c>
      <c r="B135">
        <v>0</v>
      </c>
      <c r="C135">
        <v>0</v>
      </c>
      <c r="D135">
        <v>0</v>
      </c>
      <c r="E135">
        <v>0</v>
      </c>
    </row>
    <row r="136" spans="1:5" hidden="1" x14ac:dyDescent="0.3">
      <c r="A136">
        <v>304</v>
      </c>
      <c r="B136">
        <v>0</v>
      </c>
      <c r="C136">
        <v>0</v>
      </c>
      <c r="D136">
        <v>0</v>
      </c>
      <c r="E136">
        <v>0</v>
      </c>
    </row>
    <row r="137" spans="1:5" hidden="1" x14ac:dyDescent="0.3">
      <c r="A137">
        <v>305</v>
      </c>
      <c r="B137">
        <v>0</v>
      </c>
      <c r="C137">
        <v>0</v>
      </c>
      <c r="D137">
        <v>0</v>
      </c>
      <c r="E137">
        <v>0</v>
      </c>
    </row>
    <row r="138" spans="1:5" hidden="1" x14ac:dyDescent="0.3">
      <c r="A138">
        <v>306</v>
      </c>
      <c r="B138">
        <v>0</v>
      </c>
      <c r="C138">
        <v>0</v>
      </c>
      <c r="D138">
        <v>0</v>
      </c>
      <c r="E138">
        <v>0</v>
      </c>
    </row>
    <row r="139" spans="1:5" hidden="1" x14ac:dyDescent="0.3">
      <c r="A139">
        <v>307</v>
      </c>
      <c r="B139">
        <v>0</v>
      </c>
      <c r="C139">
        <v>0</v>
      </c>
      <c r="D139">
        <v>0</v>
      </c>
      <c r="E139">
        <v>0</v>
      </c>
    </row>
    <row r="140" spans="1:5" hidden="1" x14ac:dyDescent="0.3">
      <c r="A140">
        <v>308</v>
      </c>
      <c r="B140">
        <v>0</v>
      </c>
      <c r="C140">
        <v>0</v>
      </c>
      <c r="D140">
        <v>0</v>
      </c>
      <c r="E140">
        <v>0</v>
      </c>
    </row>
    <row r="141" spans="1:5" hidden="1" x14ac:dyDescent="0.3">
      <c r="A141">
        <v>309</v>
      </c>
      <c r="B141">
        <v>0</v>
      </c>
      <c r="C141">
        <v>0</v>
      </c>
      <c r="D141">
        <v>0</v>
      </c>
      <c r="E141">
        <v>0</v>
      </c>
    </row>
    <row r="142" spans="1:5" hidden="1" x14ac:dyDescent="0.3">
      <c r="A142">
        <v>310</v>
      </c>
      <c r="B142">
        <v>0</v>
      </c>
      <c r="C142">
        <v>0</v>
      </c>
      <c r="D142">
        <v>0</v>
      </c>
      <c r="E142">
        <v>0</v>
      </c>
    </row>
    <row r="143" spans="1:5" hidden="1" x14ac:dyDescent="0.3">
      <c r="A143">
        <v>311</v>
      </c>
      <c r="B143">
        <v>0</v>
      </c>
      <c r="C143">
        <v>0</v>
      </c>
      <c r="D143">
        <v>0</v>
      </c>
      <c r="E143">
        <v>0</v>
      </c>
    </row>
    <row r="144" spans="1:5" hidden="1" x14ac:dyDescent="0.3">
      <c r="A144">
        <v>312</v>
      </c>
      <c r="B144">
        <v>0</v>
      </c>
      <c r="C144">
        <v>0</v>
      </c>
      <c r="D144">
        <v>0</v>
      </c>
      <c r="E144">
        <v>0</v>
      </c>
    </row>
    <row r="145" spans="1:5" hidden="1" x14ac:dyDescent="0.3">
      <c r="A145">
        <v>313</v>
      </c>
      <c r="B145">
        <v>0</v>
      </c>
      <c r="C145">
        <v>0</v>
      </c>
      <c r="D145">
        <v>0</v>
      </c>
      <c r="E145">
        <v>0</v>
      </c>
    </row>
    <row r="146" spans="1:5" hidden="1" x14ac:dyDescent="0.3">
      <c r="A146">
        <v>314</v>
      </c>
      <c r="B146">
        <v>0</v>
      </c>
      <c r="C146">
        <v>0</v>
      </c>
      <c r="D146">
        <v>0</v>
      </c>
      <c r="E146">
        <v>0</v>
      </c>
    </row>
    <row r="147" spans="1:5" hidden="1" x14ac:dyDescent="0.3">
      <c r="A147">
        <v>315</v>
      </c>
      <c r="B147">
        <v>0</v>
      </c>
      <c r="C147">
        <v>0</v>
      </c>
      <c r="D147">
        <v>0</v>
      </c>
      <c r="E147">
        <v>0</v>
      </c>
    </row>
    <row r="148" spans="1:5" hidden="1" x14ac:dyDescent="0.3">
      <c r="A148">
        <v>316</v>
      </c>
      <c r="B148">
        <v>0</v>
      </c>
      <c r="C148">
        <v>0</v>
      </c>
      <c r="D148">
        <v>0</v>
      </c>
      <c r="E148">
        <v>0</v>
      </c>
    </row>
    <row r="149" spans="1:5" hidden="1" x14ac:dyDescent="0.3">
      <c r="A149">
        <v>317</v>
      </c>
      <c r="B149">
        <v>0</v>
      </c>
      <c r="C149">
        <v>0</v>
      </c>
      <c r="D149">
        <v>0</v>
      </c>
      <c r="E149">
        <v>0</v>
      </c>
    </row>
    <row r="150" spans="1:5" hidden="1" x14ac:dyDescent="0.3">
      <c r="A150">
        <v>318</v>
      </c>
      <c r="B150">
        <v>0</v>
      </c>
      <c r="C150">
        <v>0</v>
      </c>
      <c r="D150">
        <v>0</v>
      </c>
      <c r="E150">
        <v>0</v>
      </c>
    </row>
    <row r="151" spans="1:5" hidden="1" x14ac:dyDescent="0.3">
      <c r="A151">
        <v>319</v>
      </c>
      <c r="B151">
        <v>0</v>
      </c>
      <c r="C151">
        <v>0</v>
      </c>
      <c r="D151">
        <v>0</v>
      </c>
      <c r="E151">
        <v>0</v>
      </c>
    </row>
    <row r="152" spans="1:5" hidden="1" x14ac:dyDescent="0.3">
      <c r="A152">
        <v>320</v>
      </c>
      <c r="B152">
        <v>0</v>
      </c>
      <c r="C152">
        <v>0</v>
      </c>
      <c r="D152">
        <v>0</v>
      </c>
      <c r="E152">
        <v>0</v>
      </c>
    </row>
    <row r="153" spans="1:5" hidden="1" x14ac:dyDescent="0.3">
      <c r="A153">
        <v>321</v>
      </c>
      <c r="B153">
        <v>0</v>
      </c>
      <c r="C153">
        <v>0</v>
      </c>
      <c r="D153">
        <v>0</v>
      </c>
      <c r="E153">
        <v>0</v>
      </c>
    </row>
    <row r="154" spans="1:5" hidden="1" x14ac:dyDescent="0.3">
      <c r="A154">
        <v>322</v>
      </c>
      <c r="B154">
        <v>0</v>
      </c>
      <c r="C154">
        <v>0</v>
      </c>
      <c r="D154">
        <v>0</v>
      </c>
      <c r="E154">
        <v>0</v>
      </c>
    </row>
    <row r="155" spans="1:5" hidden="1" x14ac:dyDescent="0.3">
      <c r="A155">
        <v>324</v>
      </c>
      <c r="B155">
        <v>0</v>
      </c>
      <c r="C155">
        <v>0</v>
      </c>
      <c r="D155">
        <v>0</v>
      </c>
      <c r="E155">
        <v>0</v>
      </c>
    </row>
    <row r="156" spans="1:5" hidden="1" x14ac:dyDescent="0.3">
      <c r="A156">
        <v>325</v>
      </c>
      <c r="B156">
        <v>0</v>
      </c>
      <c r="C156">
        <v>0</v>
      </c>
      <c r="D156">
        <v>0</v>
      </c>
      <c r="E156">
        <v>0</v>
      </c>
    </row>
    <row r="157" spans="1:5" hidden="1" x14ac:dyDescent="0.3">
      <c r="A157">
        <v>326</v>
      </c>
      <c r="B157">
        <v>0</v>
      </c>
      <c r="C157">
        <v>0</v>
      </c>
      <c r="D157">
        <v>0</v>
      </c>
      <c r="E157">
        <v>0</v>
      </c>
    </row>
    <row r="158" spans="1:5" hidden="1" x14ac:dyDescent="0.3">
      <c r="A158">
        <v>327</v>
      </c>
      <c r="B158">
        <v>0</v>
      </c>
      <c r="C158">
        <v>0</v>
      </c>
      <c r="D158">
        <v>0</v>
      </c>
      <c r="E158">
        <v>0</v>
      </c>
    </row>
    <row r="159" spans="1:5" hidden="1" x14ac:dyDescent="0.3">
      <c r="A159">
        <v>328</v>
      </c>
      <c r="B159">
        <v>0</v>
      </c>
      <c r="C159">
        <v>0</v>
      </c>
      <c r="D159">
        <v>0</v>
      </c>
      <c r="E159">
        <v>0</v>
      </c>
    </row>
    <row r="160" spans="1:5" hidden="1" x14ac:dyDescent="0.3">
      <c r="A160">
        <v>329</v>
      </c>
      <c r="B160">
        <v>0</v>
      </c>
      <c r="C160">
        <v>0</v>
      </c>
      <c r="D160">
        <v>0</v>
      </c>
      <c r="E160">
        <v>0</v>
      </c>
    </row>
    <row r="161" spans="1:5" hidden="1" x14ac:dyDescent="0.3">
      <c r="A161">
        <v>330</v>
      </c>
      <c r="B161">
        <v>0</v>
      </c>
      <c r="C161">
        <v>0</v>
      </c>
      <c r="D161">
        <v>0</v>
      </c>
      <c r="E161">
        <v>0</v>
      </c>
    </row>
    <row r="162" spans="1:5" hidden="1" x14ac:dyDescent="0.3">
      <c r="A162">
        <v>331</v>
      </c>
      <c r="B162">
        <v>0</v>
      </c>
      <c r="C162">
        <v>0</v>
      </c>
      <c r="D162">
        <v>0</v>
      </c>
      <c r="E162">
        <v>0</v>
      </c>
    </row>
    <row r="163" spans="1:5" hidden="1" x14ac:dyDescent="0.3">
      <c r="A163">
        <v>332</v>
      </c>
      <c r="B163">
        <v>0</v>
      </c>
      <c r="C163">
        <v>0</v>
      </c>
      <c r="D163">
        <v>0</v>
      </c>
      <c r="E163">
        <v>0</v>
      </c>
    </row>
    <row r="164" spans="1:5" hidden="1" x14ac:dyDescent="0.3">
      <c r="A164">
        <v>333</v>
      </c>
      <c r="B164">
        <v>0</v>
      </c>
      <c r="C164">
        <v>0</v>
      </c>
      <c r="D164">
        <v>0</v>
      </c>
      <c r="E164">
        <v>0</v>
      </c>
    </row>
    <row r="165" spans="1:5" hidden="1" x14ac:dyDescent="0.3">
      <c r="A165">
        <v>334</v>
      </c>
      <c r="B165">
        <v>0</v>
      </c>
      <c r="C165">
        <v>0</v>
      </c>
      <c r="D165">
        <v>0</v>
      </c>
      <c r="E165">
        <v>0</v>
      </c>
    </row>
    <row r="166" spans="1:5" hidden="1" x14ac:dyDescent="0.3">
      <c r="A166">
        <v>335</v>
      </c>
      <c r="B166">
        <v>0</v>
      </c>
      <c r="C166">
        <v>0</v>
      </c>
      <c r="D166">
        <v>0</v>
      </c>
      <c r="E166">
        <v>0</v>
      </c>
    </row>
    <row r="167" spans="1:5" hidden="1" x14ac:dyDescent="0.3">
      <c r="A167">
        <v>336</v>
      </c>
      <c r="B167">
        <v>0</v>
      </c>
      <c r="C167">
        <v>0</v>
      </c>
      <c r="D167">
        <v>0</v>
      </c>
      <c r="E167">
        <v>0</v>
      </c>
    </row>
    <row r="168" spans="1:5" hidden="1" x14ac:dyDescent="0.3">
      <c r="A168">
        <v>337</v>
      </c>
      <c r="B168">
        <v>0</v>
      </c>
      <c r="C168">
        <v>0</v>
      </c>
      <c r="D168">
        <v>0</v>
      </c>
      <c r="E168">
        <v>0</v>
      </c>
    </row>
    <row r="169" spans="1:5" hidden="1" x14ac:dyDescent="0.3">
      <c r="A169">
        <v>338</v>
      </c>
      <c r="B169">
        <v>0</v>
      </c>
      <c r="C169">
        <v>0</v>
      </c>
      <c r="D169">
        <v>0</v>
      </c>
      <c r="E169">
        <v>0</v>
      </c>
    </row>
    <row r="170" spans="1:5" hidden="1" x14ac:dyDescent="0.3">
      <c r="A170">
        <v>339</v>
      </c>
      <c r="B170">
        <v>0</v>
      </c>
      <c r="C170">
        <v>0</v>
      </c>
      <c r="D170">
        <v>0</v>
      </c>
      <c r="E170">
        <v>0</v>
      </c>
    </row>
    <row r="171" spans="1:5" hidden="1" x14ac:dyDescent="0.3">
      <c r="A171">
        <v>340</v>
      </c>
      <c r="B171">
        <v>0</v>
      </c>
      <c r="C171">
        <v>0</v>
      </c>
      <c r="D171">
        <v>0</v>
      </c>
      <c r="E171">
        <v>0</v>
      </c>
    </row>
    <row r="172" spans="1:5" hidden="1" x14ac:dyDescent="0.3">
      <c r="A172">
        <v>341</v>
      </c>
      <c r="B172">
        <v>0</v>
      </c>
      <c r="C172">
        <v>0</v>
      </c>
      <c r="D172">
        <v>0</v>
      </c>
      <c r="E172">
        <v>0</v>
      </c>
    </row>
    <row r="173" spans="1:5" hidden="1" x14ac:dyDescent="0.3">
      <c r="A173">
        <v>342</v>
      </c>
      <c r="B173">
        <v>0</v>
      </c>
      <c r="C173">
        <v>0</v>
      </c>
      <c r="D173">
        <v>0</v>
      </c>
      <c r="E173">
        <v>0</v>
      </c>
    </row>
    <row r="174" spans="1:5" hidden="1" x14ac:dyDescent="0.3">
      <c r="A174">
        <v>343</v>
      </c>
      <c r="B174">
        <v>0</v>
      </c>
      <c r="C174">
        <v>0</v>
      </c>
      <c r="D174">
        <v>0</v>
      </c>
      <c r="E174">
        <v>0</v>
      </c>
    </row>
    <row r="175" spans="1:5" x14ac:dyDescent="0.3">
      <c r="A175">
        <v>344</v>
      </c>
      <c r="B175">
        <v>7200</v>
      </c>
      <c r="C175">
        <v>13952</v>
      </c>
      <c r="D175">
        <v>4351.38</v>
      </c>
      <c r="E175">
        <v>2400.62</v>
      </c>
    </row>
    <row r="176" spans="1:5" hidden="1" x14ac:dyDescent="0.3">
      <c r="A176">
        <v>345</v>
      </c>
      <c r="B176">
        <v>0</v>
      </c>
      <c r="C176">
        <v>0</v>
      </c>
      <c r="D176">
        <v>0</v>
      </c>
      <c r="E176">
        <v>0</v>
      </c>
    </row>
    <row r="177" spans="1:5" hidden="1" x14ac:dyDescent="0.3">
      <c r="A177">
        <v>346</v>
      </c>
      <c r="B177">
        <v>0</v>
      </c>
      <c r="C177">
        <v>0</v>
      </c>
      <c r="D177">
        <v>0</v>
      </c>
      <c r="E177">
        <v>0</v>
      </c>
    </row>
    <row r="178" spans="1:5" hidden="1" x14ac:dyDescent="0.3">
      <c r="A178">
        <v>347</v>
      </c>
      <c r="B178">
        <v>0</v>
      </c>
      <c r="C178">
        <v>0</v>
      </c>
      <c r="D178">
        <v>0</v>
      </c>
      <c r="E178">
        <v>0</v>
      </c>
    </row>
    <row r="179" spans="1:5" hidden="1" x14ac:dyDescent="0.3">
      <c r="A179">
        <v>348</v>
      </c>
      <c r="B179">
        <v>0</v>
      </c>
      <c r="C179">
        <v>0</v>
      </c>
      <c r="D179">
        <v>0</v>
      </c>
      <c r="E179">
        <v>0</v>
      </c>
    </row>
    <row r="180" spans="1:5" hidden="1" x14ac:dyDescent="0.3">
      <c r="A180">
        <v>349</v>
      </c>
      <c r="B180">
        <v>0</v>
      </c>
      <c r="C180">
        <v>0</v>
      </c>
      <c r="D180">
        <v>0</v>
      </c>
      <c r="E180">
        <v>0</v>
      </c>
    </row>
    <row r="181" spans="1:5" hidden="1" x14ac:dyDescent="0.3">
      <c r="A181">
        <v>356</v>
      </c>
      <c r="B181">
        <v>0</v>
      </c>
      <c r="C181">
        <v>0</v>
      </c>
      <c r="D181">
        <v>0</v>
      </c>
      <c r="E181">
        <v>0</v>
      </c>
    </row>
    <row r="182" spans="1:5" hidden="1" x14ac:dyDescent="0.3">
      <c r="A182">
        <v>357</v>
      </c>
      <c r="B182">
        <v>0</v>
      </c>
      <c r="C182">
        <v>0</v>
      </c>
      <c r="D182">
        <v>0</v>
      </c>
      <c r="E182">
        <v>0</v>
      </c>
    </row>
    <row r="183" spans="1:5" hidden="1" x14ac:dyDescent="0.3">
      <c r="A183">
        <v>359</v>
      </c>
      <c r="B183">
        <v>0</v>
      </c>
      <c r="C183">
        <v>0</v>
      </c>
      <c r="D183">
        <v>0</v>
      </c>
      <c r="E183">
        <v>0</v>
      </c>
    </row>
    <row r="184" spans="1:5" hidden="1" x14ac:dyDescent="0.3">
      <c r="A184">
        <v>360</v>
      </c>
      <c r="B184">
        <v>0</v>
      </c>
      <c r="C184">
        <v>0</v>
      </c>
      <c r="D184">
        <v>0</v>
      </c>
      <c r="E184">
        <v>0</v>
      </c>
    </row>
    <row r="185" spans="1:5" x14ac:dyDescent="0.3">
      <c r="A185">
        <v>361</v>
      </c>
      <c r="B185">
        <v>7200</v>
      </c>
      <c r="C185">
        <v>15680</v>
      </c>
      <c r="D185">
        <v>4351.38</v>
      </c>
      <c r="E185">
        <v>4128.62</v>
      </c>
    </row>
    <row r="186" spans="1:5" x14ac:dyDescent="0.3">
      <c r="A186">
        <v>363</v>
      </c>
      <c r="B186">
        <v>7200</v>
      </c>
      <c r="C186">
        <v>15040</v>
      </c>
      <c r="D186">
        <v>4351.38</v>
      </c>
      <c r="E186">
        <v>3488.62</v>
      </c>
    </row>
    <row r="187" spans="1:5" x14ac:dyDescent="0.3">
      <c r="A187">
        <v>364</v>
      </c>
      <c r="B187">
        <v>7200</v>
      </c>
      <c r="C187">
        <v>19520</v>
      </c>
      <c r="D187">
        <v>4351.38</v>
      </c>
      <c r="E187">
        <v>7968.62</v>
      </c>
    </row>
    <row r="188" spans="1:5" hidden="1" x14ac:dyDescent="0.3">
      <c r="A188">
        <v>365</v>
      </c>
      <c r="B188">
        <v>0</v>
      </c>
      <c r="C188">
        <v>0</v>
      </c>
      <c r="D188">
        <v>0</v>
      </c>
      <c r="E188">
        <v>0</v>
      </c>
    </row>
    <row r="189" spans="1:5" hidden="1" x14ac:dyDescent="0.3">
      <c r="A189">
        <v>369</v>
      </c>
      <c r="B189">
        <v>0</v>
      </c>
      <c r="C189">
        <v>0</v>
      </c>
      <c r="D189">
        <v>0</v>
      </c>
      <c r="E189">
        <v>0</v>
      </c>
    </row>
    <row r="190" spans="1:5" hidden="1" x14ac:dyDescent="0.3">
      <c r="A190">
        <v>370</v>
      </c>
      <c r="B190">
        <v>0</v>
      </c>
      <c r="C190">
        <v>0</v>
      </c>
      <c r="D190">
        <v>0</v>
      </c>
      <c r="E190">
        <v>0</v>
      </c>
    </row>
    <row r="191" spans="1:5" hidden="1" x14ac:dyDescent="0.3">
      <c r="A191">
        <v>375</v>
      </c>
      <c r="B191">
        <v>0</v>
      </c>
      <c r="C191">
        <v>0</v>
      </c>
      <c r="D191">
        <v>0</v>
      </c>
      <c r="E191">
        <v>0</v>
      </c>
    </row>
    <row r="192" spans="1:5" hidden="1" x14ac:dyDescent="0.3">
      <c r="A192">
        <v>376</v>
      </c>
      <c r="B192">
        <v>7200</v>
      </c>
      <c r="C192">
        <v>13640</v>
      </c>
      <c r="D192">
        <v>0</v>
      </c>
      <c r="E192">
        <v>6440</v>
      </c>
    </row>
    <row r="193" spans="1:5" hidden="1" x14ac:dyDescent="0.3">
      <c r="A193">
        <v>377</v>
      </c>
      <c r="B193">
        <v>0</v>
      </c>
      <c r="C193">
        <v>0</v>
      </c>
      <c r="D193">
        <v>0</v>
      </c>
      <c r="E193">
        <v>0</v>
      </c>
    </row>
    <row r="194" spans="1:5" hidden="1" x14ac:dyDescent="0.3">
      <c r="A194">
        <v>378</v>
      </c>
      <c r="B194">
        <v>0</v>
      </c>
      <c r="C194">
        <v>0</v>
      </c>
      <c r="D194">
        <v>0</v>
      </c>
      <c r="E194">
        <v>0</v>
      </c>
    </row>
    <row r="195" spans="1:5" hidden="1" x14ac:dyDescent="0.3">
      <c r="A195">
        <v>381</v>
      </c>
      <c r="B195">
        <v>0</v>
      </c>
      <c r="C195">
        <v>0</v>
      </c>
      <c r="D195">
        <v>0</v>
      </c>
      <c r="E195">
        <v>0</v>
      </c>
    </row>
    <row r="196" spans="1:5" hidden="1" x14ac:dyDescent="0.3">
      <c r="A196">
        <v>383</v>
      </c>
      <c r="B196">
        <v>0</v>
      </c>
      <c r="C196">
        <v>0</v>
      </c>
      <c r="D196">
        <v>0</v>
      </c>
      <c r="E196">
        <v>0</v>
      </c>
    </row>
    <row r="197" spans="1:5" hidden="1" x14ac:dyDescent="0.3">
      <c r="A197">
        <v>385</v>
      </c>
      <c r="B197">
        <v>0</v>
      </c>
      <c r="C197">
        <v>0</v>
      </c>
      <c r="D197">
        <v>0</v>
      </c>
      <c r="E197">
        <v>0</v>
      </c>
    </row>
    <row r="198" spans="1:5" hidden="1" x14ac:dyDescent="0.3">
      <c r="A198">
        <v>386</v>
      </c>
      <c r="B198">
        <v>0</v>
      </c>
      <c r="C198">
        <v>0</v>
      </c>
      <c r="D198">
        <v>0</v>
      </c>
      <c r="E198">
        <v>0</v>
      </c>
    </row>
    <row r="199" spans="1:5" hidden="1" x14ac:dyDescent="0.3">
      <c r="A199">
        <v>395</v>
      </c>
      <c r="B199">
        <v>0</v>
      </c>
      <c r="C199">
        <v>0</v>
      </c>
      <c r="D199">
        <v>0</v>
      </c>
      <c r="E199">
        <v>0</v>
      </c>
    </row>
    <row r="200" spans="1:5" hidden="1" x14ac:dyDescent="0.3">
      <c r="A200">
        <v>399</v>
      </c>
      <c r="B200">
        <v>0</v>
      </c>
      <c r="C200">
        <v>0</v>
      </c>
      <c r="D200">
        <v>0</v>
      </c>
      <c r="E200">
        <v>0</v>
      </c>
    </row>
    <row r="201" spans="1:5" x14ac:dyDescent="0.3">
      <c r="C201">
        <f>SUBTOTAL(109,view_batch_profitability_rows[total_sales])</f>
        <v>570912</v>
      </c>
      <c r="D201">
        <f>SUBTOTAL(109,view_batch_profitability_rows[total_feed_cost])</f>
        <v>143107.52000000002</v>
      </c>
      <c r="E201">
        <f>SUBTOTAL(109,view_batch_profitability_rows[net_profit])</f>
        <v>161404.47999999995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CB3AE-CEB4-4314-84AB-7E786BF891B0}">
  <dimension ref="A1:G53"/>
  <sheetViews>
    <sheetView workbookViewId="0">
      <selection activeCell="G53" sqref="D53:G53"/>
    </sheetView>
  </sheetViews>
  <sheetFormatPr defaultRowHeight="14.4" x14ac:dyDescent="0.3"/>
  <cols>
    <col min="1" max="1" width="9.109375" bestFit="1" customWidth="1"/>
    <col min="2" max="2" width="13.109375" bestFit="1" customWidth="1"/>
    <col min="3" max="3" width="14" bestFit="1" customWidth="1"/>
    <col min="4" max="4" width="16.109375" bestFit="1" customWidth="1"/>
    <col min="5" max="5" width="12.109375" bestFit="1" customWidth="1"/>
    <col min="6" max="6" width="16.44140625" bestFit="1" customWidth="1"/>
    <col min="7" max="7" width="11.6640625" bestFit="1" customWidth="1"/>
  </cols>
  <sheetData>
    <row r="1" spans="1:7" x14ac:dyDescent="0.3">
      <c r="A1" t="s">
        <v>1</v>
      </c>
      <c r="B1" t="s">
        <v>16</v>
      </c>
      <c r="C1" t="s">
        <v>15</v>
      </c>
      <c r="D1" t="s">
        <v>32</v>
      </c>
      <c r="E1" t="s">
        <v>33</v>
      </c>
      <c r="F1" t="s">
        <v>34</v>
      </c>
      <c r="G1" t="s">
        <v>35</v>
      </c>
    </row>
    <row r="2" spans="1:7" x14ac:dyDescent="0.3">
      <c r="A2">
        <v>5</v>
      </c>
      <c r="B2" t="s">
        <v>22</v>
      </c>
      <c r="C2" t="s">
        <v>21</v>
      </c>
      <c r="D2">
        <v>0</v>
      </c>
      <c r="E2">
        <v>0</v>
      </c>
      <c r="F2">
        <v>0</v>
      </c>
      <c r="G2">
        <v>0</v>
      </c>
    </row>
    <row r="3" spans="1:7" x14ac:dyDescent="0.3">
      <c r="A3">
        <v>7</v>
      </c>
      <c r="B3" t="s">
        <v>12</v>
      </c>
      <c r="C3" t="s">
        <v>36</v>
      </c>
      <c r="D3">
        <v>7200</v>
      </c>
      <c r="E3">
        <v>14816</v>
      </c>
      <c r="F3">
        <v>4351.38</v>
      </c>
      <c r="G3">
        <v>3264.62</v>
      </c>
    </row>
    <row r="4" spans="1:7" x14ac:dyDescent="0.3">
      <c r="A4">
        <v>22</v>
      </c>
      <c r="B4" t="s">
        <v>12</v>
      </c>
      <c r="C4" t="s">
        <v>36</v>
      </c>
      <c r="D4">
        <v>7200</v>
      </c>
      <c r="E4">
        <v>17888</v>
      </c>
      <c r="F4">
        <v>4351.38</v>
      </c>
      <c r="G4">
        <v>6336.62</v>
      </c>
    </row>
    <row r="5" spans="1:7" x14ac:dyDescent="0.3">
      <c r="A5">
        <v>23</v>
      </c>
      <c r="B5" t="s">
        <v>12</v>
      </c>
      <c r="C5" t="s">
        <v>36</v>
      </c>
      <c r="D5">
        <v>7200</v>
      </c>
      <c r="E5">
        <v>17920</v>
      </c>
      <c r="F5">
        <v>4351.38</v>
      </c>
      <c r="G5">
        <v>6368.62</v>
      </c>
    </row>
    <row r="6" spans="1:7" x14ac:dyDescent="0.3">
      <c r="A6">
        <v>24</v>
      </c>
      <c r="B6" t="s">
        <v>12</v>
      </c>
      <c r="C6" t="s">
        <v>36</v>
      </c>
      <c r="D6">
        <v>7200</v>
      </c>
      <c r="E6">
        <v>13440</v>
      </c>
      <c r="F6">
        <v>3287.97</v>
      </c>
      <c r="G6">
        <v>2952.03</v>
      </c>
    </row>
    <row r="7" spans="1:7" x14ac:dyDescent="0.3">
      <c r="A7">
        <v>25</v>
      </c>
      <c r="B7" t="s">
        <v>12</v>
      </c>
      <c r="C7" t="s">
        <v>36</v>
      </c>
      <c r="D7">
        <v>7200</v>
      </c>
      <c r="E7">
        <v>12160</v>
      </c>
      <c r="F7">
        <v>3287.97</v>
      </c>
      <c r="G7">
        <v>1672.03</v>
      </c>
    </row>
    <row r="8" spans="1:7" x14ac:dyDescent="0.3">
      <c r="A8">
        <v>28</v>
      </c>
      <c r="B8" t="s">
        <v>12</v>
      </c>
      <c r="C8" t="s">
        <v>36</v>
      </c>
      <c r="D8">
        <v>7200</v>
      </c>
      <c r="E8">
        <v>15392</v>
      </c>
      <c r="F8">
        <v>4351.38</v>
      </c>
      <c r="G8">
        <v>3840.62</v>
      </c>
    </row>
    <row r="9" spans="1:7" x14ac:dyDescent="0.3">
      <c r="A9">
        <v>44</v>
      </c>
      <c r="B9" t="s">
        <v>22</v>
      </c>
      <c r="C9" t="s">
        <v>21</v>
      </c>
      <c r="D9">
        <v>0</v>
      </c>
      <c r="E9">
        <v>0</v>
      </c>
      <c r="F9">
        <v>0</v>
      </c>
      <c r="G9">
        <v>0</v>
      </c>
    </row>
    <row r="10" spans="1:7" x14ac:dyDescent="0.3">
      <c r="A10">
        <v>46</v>
      </c>
      <c r="B10" t="s">
        <v>12</v>
      </c>
      <c r="C10" t="s">
        <v>36</v>
      </c>
      <c r="D10">
        <v>7200</v>
      </c>
      <c r="E10">
        <v>11840</v>
      </c>
      <c r="F10">
        <v>1900.92</v>
      </c>
      <c r="G10">
        <v>2739.08</v>
      </c>
    </row>
    <row r="11" spans="1:7" x14ac:dyDescent="0.3">
      <c r="A11">
        <v>47</v>
      </c>
      <c r="B11" t="s">
        <v>12</v>
      </c>
      <c r="C11" t="s">
        <v>36</v>
      </c>
      <c r="D11">
        <v>7200</v>
      </c>
      <c r="E11">
        <v>13760</v>
      </c>
      <c r="F11">
        <v>3287.97</v>
      </c>
      <c r="G11">
        <v>3272.03</v>
      </c>
    </row>
    <row r="12" spans="1:7" x14ac:dyDescent="0.3">
      <c r="A12">
        <v>49</v>
      </c>
      <c r="B12" t="s">
        <v>12</v>
      </c>
      <c r="C12" t="s">
        <v>36</v>
      </c>
      <c r="D12">
        <v>7200</v>
      </c>
      <c r="E12">
        <v>13760</v>
      </c>
      <c r="F12">
        <v>3287.97</v>
      </c>
      <c r="G12">
        <v>3272.03</v>
      </c>
    </row>
    <row r="13" spans="1:7" x14ac:dyDescent="0.3">
      <c r="A13">
        <v>50</v>
      </c>
      <c r="B13" t="s">
        <v>12</v>
      </c>
      <c r="C13" t="s">
        <v>36</v>
      </c>
      <c r="D13">
        <v>7200</v>
      </c>
      <c r="E13">
        <v>17280</v>
      </c>
      <c r="F13">
        <v>4212.67</v>
      </c>
      <c r="G13">
        <v>5867.33</v>
      </c>
    </row>
    <row r="14" spans="1:7" x14ac:dyDescent="0.3">
      <c r="A14">
        <v>52</v>
      </c>
      <c r="B14" t="s">
        <v>12</v>
      </c>
      <c r="C14" t="s">
        <v>36</v>
      </c>
      <c r="D14">
        <v>7200</v>
      </c>
      <c r="E14">
        <v>13120</v>
      </c>
      <c r="F14">
        <v>4258.91</v>
      </c>
      <c r="G14">
        <v>1661.09</v>
      </c>
    </row>
    <row r="15" spans="1:7" x14ac:dyDescent="0.3">
      <c r="A15">
        <v>59</v>
      </c>
      <c r="B15" t="s">
        <v>12</v>
      </c>
      <c r="C15" t="s">
        <v>36</v>
      </c>
      <c r="D15">
        <v>7200</v>
      </c>
      <c r="E15">
        <v>13120</v>
      </c>
      <c r="F15">
        <v>4351.38</v>
      </c>
      <c r="G15">
        <v>1568.62</v>
      </c>
    </row>
    <row r="16" spans="1:7" x14ac:dyDescent="0.3">
      <c r="A16">
        <v>66</v>
      </c>
      <c r="B16" t="s">
        <v>12</v>
      </c>
      <c r="C16" t="s">
        <v>36</v>
      </c>
      <c r="D16">
        <v>7200</v>
      </c>
      <c r="E16">
        <v>16000</v>
      </c>
      <c r="F16">
        <v>4120.2</v>
      </c>
      <c r="G16">
        <v>4679.8</v>
      </c>
    </row>
    <row r="17" spans="1:7" x14ac:dyDescent="0.3">
      <c r="A17">
        <v>75</v>
      </c>
      <c r="B17" t="s">
        <v>22</v>
      </c>
      <c r="C17" t="s">
        <v>21</v>
      </c>
      <c r="D17">
        <v>0</v>
      </c>
      <c r="E17">
        <v>0</v>
      </c>
      <c r="F17">
        <v>0</v>
      </c>
      <c r="G17">
        <v>0</v>
      </c>
    </row>
    <row r="18" spans="1:7" x14ac:dyDescent="0.3">
      <c r="A18">
        <v>76</v>
      </c>
      <c r="B18" t="s">
        <v>19</v>
      </c>
      <c r="C18" t="s">
        <v>36</v>
      </c>
      <c r="D18">
        <v>0</v>
      </c>
      <c r="E18">
        <v>0</v>
      </c>
      <c r="F18">
        <v>0</v>
      </c>
      <c r="G18">
        <v>0</v>
      </c>
    </row>
    <row r="19" spans="1:7" x14ac:dyDescent="0.3">
      <c r="A19">
        <v>91</v>
      </c>
      <c r="B19" t="s">
        <v>12</v>
      </c>
      <c r="C19" t="s">
        <v>36</v>
      </c>
      <c r="D19">
        <v>7200</v>
      </c>
      <c r="E19">
        <v>16960</v>
      </c>
      <c r="F19">
        <v>4120.2</v>
      </c>
      <c r="G19">
        <v>5639.8</v>
      </c>
    </row>
    <row r="20" spans="1:7" x14ac:dyDescent="0.3">
      <c r="A20">
        <v>93</v>
      </c>
      <c r="B20" t="s">
        <v>26</v>
      </c>
      <c r="C20" t="s">
        <v>25</v>
      </c>
      <c r="D20">
        <v>0</v>
      </c>
      <c r="E20">
        <v>0</v>
      </c>
      <c r="F20">
        <v>0</v>
      </c>
      <c r="G20">
        <v>0</v>
      </c>
    </row>
    <row r="21" spans="1:7" x14ac:dyDescent="0.3">
      <c r="A21">
        <v>99</v>
      </c>
      <c r="B21" t="s">
        <v>12</v>
      </c>
      <c r="C21" t="s">
        <v>36</v>
      </c>
      <c r="D21">
        <v>7200</v>
      </c>
      <c r="E21">
        <v>16960</v>
      </c>
      <c r="F21">
        <v>3287.97</v>
      </c>
      <c r="G21">
        <v>6472.03</v>
      </c>
    </row>
    <row r="22" spans="1:7" x14ac:dyDescent="0.3">
      <c r="A22">
        <v>101</v>
      </c>
      <c r="B22" t="s">
        <v>12</v>
      </c>
      <c r="C22" t="s">
        <v>36</v>
      </c>
      <c r="D22">
        <v>7200</v>
      </c>
      <c r="E22">
        <v>12160</v>
      </c>
      <c r="F22">
        <v>1623</v>
      </c>
      <c r="G22">
        <v>3337</v>
      </c>
    </row>
    <row r="23" spans="1:7" x14ac:dyDescent="0.3">
      <c r="A23">
        <v>114</v>
      </c>
      <c r="B23" t="s">
        <v>12</v>
      </c>
      <c r="C23" t="s">
        <v>36</v>
      </c>
      <c r="D23">
        <v>7200</v>
      </c>
      <c r="E23">
        <v>16928</v>
      </c>
      <c r="F23">
        <v>4351.38</v>
      </c>
      <c r="G23">
        <v>5376.62</v>
      </c>
    </row>
    <row r="24" spans="1:7" x14ac:dyDescent="0.3">
      <c r="A24">
        <v>129</v>
      </c>
      <c r="B24" t="s">
        <v>12</v>
      </c>
      <c r="C24" t="s">
        <v>36</v>
      </c>
      <c r="D24">
        <v>7200</v>
      </c>
      <c r="E24">
        <v>18016</v>
      </c>
      <c r="F24">
        <v>4351.38</v>
      </c>
      <c r="G24">
        <v>6464.62</v>
      </c>
    </row>
    <row r="25" spans="1:7" x14ac:dyDescent="0.3">
      <c r="A25">
        <v>150</v>
      </c>
      <c r="B25" t="s">
        <v>19</v>
      </c>
      <c r="C25" t="s">
        <v>36</v>
      </c>
      <c r="D25">
        <v>0</v>
      </c>
      <c r="E25">
        <v>0</v>
      </c>
      <c r="F25">
        <v>0</v>
      </c>
      <c r="G25">
        <v>0</v>
      </c>
    </row>
    <row r="26" spans="1:7" x14ac:dyDescent="0.3">
      <c r="A26">
        <v>155</v>
      </c>
      <c r="B26" t="s">
        <v>12</v>
      </c>
      <c r="C26" t="s">
        <v>20</v>
      </c>
      <c r="D26">
        <v>0</v>
      </c>
      <c r="E26">
        <v>0</v>
      </c>
      <c r="F26">
        <v>0</v>
      </c>
      <c r="G26">
        <v>0</v>
      </c>
    </row>
    <row r="27" spans="1:7" x14ac:dyDescent="0.3">
      <c r="A27">
        <v>169</v>
      </c>
      <c r="B27" t="s">
        <v>12</v>
      </c>
      <c r="C27" t="s">
        <v>36</v>
      </c>
      <c r="D27">
        <v>7200</v>
      </c>
      <c r="E27">
        <v>16640</v>
      </c>
      <c r="F27">
        <v>4212.67</v>
      </c>
      <c r="G27">
        <v>5227.33</v>
      </c>
    </row>
    <row r="28" spans="1:7" x14ac:dyDescent="0.3">
      <c r="A28">
        <v>170</v>
      </c>
      <c r="B28" t="s">
        <v>12</v>
      </c>
      <c r="C28" t="s">
        <v>36</v>
      </c>
      <c r="D28">
        <v>7200</v>
      </c>
      <c r="E28">
        <v>15040</v>
      </c>
      <c r="F28">
        <v>3287.97</v>
      </c>
      <c r="G28">
        <v>4552.03</v>
      </c>
    </row>
    <row r="29" spans="1:7" x14ac:dyDescent="0.3">
      <c r="A29">
        <v>171</v>
      </c>
      <c r="B29" t="s">
        <v>12</v>
      </c>
      <c r="C29" t="s">
        <v>36</v>
      </c>
      <c r="D29">
        <v>7200</v>
      </c>
      <c r="E29">
        <v>16800</v>
      </c>
      <c r="F29">
        <v>4073.97</v>
      </c>
      <c r="G29">
        <v>5526.03</v>
      </c>
    </row>
    <row r="30" spans="1:7" x14ac:dyDescent="0.3">
      <c r="A30">
        <v>172</v>
      </c>
      <c r="B30" t="s">
        <v>12</v>
      </c>
      <c r="C30" t="s">
        <v>36</v>
      </c>
      <c r="D30">
        <v>7200</v>
      </c>
      <c r="E30">
        <v>14912</v>
      </c>
      <c r="F30">
        <v>4351.38</v>
      </c>
      <c r="G30">
        <v>3360.62</v>
      </c>
    </row>
    <row r="31" spans="1:7" x14ac:dyDescent="0.3">
      <c r="A31">
        <v>173</v>
      </c>
      <c r="B31" t="s">
        <v>12</v>
      </c>
      <c r="C31" t="s">
        <v>36</v>
      </c>
      <c r="D31">
        <v>7200</v>
      </c>
      <c r="E31">
        <v>16800</v>
      </c>
      <c r="F31">
        <v>4351.38</v>
      </c>
      <c r="G31">
        <v>5248.62</v>
      </c>
    </row>
    <row r="32" spans="1:7" x14ac:dyDescent="0.3">
      <c r="A32">
        <v>174</v>
      </c>
      <c r="B32" t="s">
        <v>12</v>
      </c>
      <c r="C32" t="s">
        <v>36</v>
      </c>
      <c r="D32">
        <v>7200</v>
      </c>
      <c r="E32">
        <v>16960</v>
      </c>
      <c r="F32">
        <v>4258.91</v>
      </c>
      <c r="G32">
        <v>5501.09</v>
      </c>
    </row>
    <row r="33" spans="1:7" x14ac:dyDescent="0.3">
      <c r="A33">
        <v>175</v>
      </c>
      <c r="B33" t="s">
        <v>12</v>
      </c>
      <c r="C33" t="s">
        <v>36</v>
      </c>
      <c r="D33">
        <v>7200</v>
      </c>
      <c r="E33">
        <v>15040</v>
      </c>
      <c r="F33">
        <v>4212.67</v>
      </c>
      <c r="G33">
        <v>3627.33</v>
      </c>
    </row>
    <row r="34" spans="1:7" x14ac:dyDescent="0.3">
      <c r="A34">
        <v>176</v>
      </c>
      <c r="B34" t="s">
        <v>12</v>
      </c>
      <c r="C34" t="s">
        <v>36</v>
      </c>
      <c r="D34">
        <v>7200</v>
      </c>
      <c r="E34">
        <v>12480</v>
      </c>
      <c r="F34">
        <v>3287.97</v>
      </c>
      <c r="G34">
        <v>1992.03</v>
      </c>
    </row>
    <row r="35" spans="1:7" x14ac:dyDescent="0.3">
      <c r="A35">
        <v>177</v>
      </c>
      <c r="B35" t="s">
        <v>12</v>
      </c>
      <c r="C35" t="s">
        <v>36</v>
      </c>
      <c r="D35">
        <v>7200</v>
      </c>
      <c r="E35">
        <v>14720</v>
      </c>
      <c r="F35">
        <v>3287.97</v>
      </c>
      <c r="G35">
        <v>4232.03</v>
      </c>
    </row>
    <row r="36" spans="1:7" x14ac:dyDescent="0.3">
      <c r="A36">
        <v>178</v>
      </c>
      <c r="B36" t="s">
        <v>12</v>
      </c>
      <c r="C36" t="s">
        <v>36</v>
      </c>
      <c r="D36">
        <v>7200</v>
      </c>
      <c r="E36">
        <v>19200</v>
      </c>
      <c r="F36">
        <v>1900.92</v>
      </c>
      <c r="G36">
        <v>10099.08</v>
      </c>
    </row>
    <row r="37" spans="1:7" x14ac:dyDescent="0.3">
      <c r="A37">
        <v>179</v>
      </c>
      <c r="B37" t="s">
        <v>12</v>
      </c>
      <c r="C37" t="s">
        <v>36</v>
      </c>
      <c r="D37">
        <v>7200</v>
      </c>
      <c r="E37">
        <v>15360</v>
      </c>
      <c r="F37">
        <v>4351.38</v>
      </c>
      <c r="G37">
        <v>3808.62</v>
      </c>
    </row>
    <row r="38" spans="1:7" x14ac:dyDescent="0.3">
      <c r="A38">
        <v>197</v>
      </c>
      <c r="B38" t="s">
        <v>12</v>
      </c>
      <c r="C38" t="s">
        <v>36</v>
      </c>
      <c r="D38">
        <v>7200</v>
      </c>
      <c r="E38">
        <v>15040</v>
      </c>
      <c r="F38">
        <v>4351.38</v>
      </c>
      <c r="G38">
        <v>3488.62</v>
      </c>
    </row>
    <row r="39" spans="1:7" x14ac:dyDescent="0.3">
      <c r="A39">
        <v>198</v>
      </c>
      <c r="B39" t="s">
        <v>12</v>
      </c>
      <c r="C39" t="s">
        <v>36</v>
      </c>
      <c r="D39">
        <v>7200</v>
      </c>
      <c r="E39">
        <v>15680</v>
      </c>
      <c r="F39">
        <v>4212.67</v>
      </c>
      <c r="G39">
        <v>4267.33</v>
      </c>
    </row>
    <row r="40" spans="1:7" x14ac:dyDescent="0.3">
      <c r="A40">
        <v>199</v>
      </c>
      <c r="B40" t="s">
        <v>12</v>
      </c>
      <c r="C40" t="s">
        <v>36</v>
      </c>
      <c r="D40">
        <v>7200</v>
      </c>
      <c r="E40">
        <v>16896</v>
      </c>
      <c r="F40">
        <v>4073.97</v>
      </c>
      <c r="G40">
        <v>5622.03</v>
      </c>
    </row>
    <row r="41" spans="1:7" x14ac:dyDescent="0.3">
      <c r="A41">
        <v>200</v>
      </c>
      <c r="B41" t="s">
        <v>12</v>
      </c>
      <c r="C41" t="s">
        <v>36</v>
      </c>
      <c r="D41">
        <v>7200</v>
      </c>
      <c r="E41">
        <v>13632</v>
      </c>
      <c r="F41">
        <v>4351.38</v>
      </c>
      <c r="G41">
        <v>2080.62</v>
      </c>
    </row>
    <row r="42" spans="1:7" x14ac:dyDescent="0.3">
      <c r="A42">
        <v>303</v>
      </c>
      <c r="B42" t="s">
        <v>19</v>
      </c>
      <c r="C42" t="s">
        <v>36</v>
      </c>
      <c r="D42">
        <v>0</v>
      </c>
      <c r="E42">
        <v>0</v>
      </c>
      <c r="F42">
        <v>0</v>
      </c>
      <c r="G42">
        <v>0</v>
      </c>
    </row>
    <row r="43" spans="1:7" x14ac:dyDescent="0.3">
      <c r="A43">
        <v>321</v>
      </c>
      <c r="B43" t="s">
        <v>19</v>
      </c>
      <c r="C43" t="s">
        <v>36</v>
      </c>
      <c r="D43">
        <v>0</v>
      </c>
      <c r="E43">
        <v>0</v>
      </c>
      <c r="F43">
        <v>0</v>
      </c>
      <c r="G43">
        <v>0</v>
      </c>
    </row>
    <row r="44" spans="1:7" x14ac:dyDescent="0.3">
      <c r="A44">
        <v>329</v>
      </c>
      <c r="B44" t="s">
        <v>19</v>
      </c>
      <c r="C44" t="s">
        <v>36</v>
      </c>
      <c r="D44">
        <v>0</v>
      </c>
      <c r="E44">
        <v>0</v>
      </c>
      <c r="F44">
        <v>0</v>
      </c>
      <c r="G44">
        <v>0</v>
      </c>
    </row>
    <row r="45" spans="1:7" x14ac:dyDescent="0.3">
      <c r="A45">
        <v>337</v>
      </c>
      <c r="B45" t="s">
        <v>22</v>
      </c>
      <c r="C45" t="s">
        <v>21</v>
      </c>
      <c r="D45">
        <v>0</v>
      </c>
      <c r="E45">
        <v>0</v>
      </c>
      <c r="F45">
        <v>0</v>
      </c>
      <c r="G45">
        <v>0</v>
      </c>
    </row>
    <row r="46" spans="1:7" x14ac:dyDescent="0.3">
      <c r="A46">
        <v>340</v>
      </c>
      <c r="B46" t="s">
        <v>22</v>
      </c>
      <c r="C46" t="s">
        <v>24</v>
      </c>
      <c r="D46">
        <v>0</v>
      </c>
      <c r="E46">
        <v>0</v>
      </c>
      <c r="F46">
        <v>0</v>
      </c>
      <c r="G46">
        <v>0</v>
      </c>
    </row>
    <row r="47" spans="1:7" x14ac:dyDescent="0.3">
      <c r="A47">
        <v>344</v>
      </c>
      <c r="B47" t="s">
        <v>12</v>
      </c>
      <c r="C47" t="s">
        <v>36</v>
      </c>
      <c r="D47">
        <v>7200</v>
      </c>
      <c r="E47">
        <v>13952</v>
      </c>
      <c r="F47">
        <v>4351.38</v>
      </c>
      <c r="G47">
        <v>2400.62</v>
      </c>
    </row>
    <row r="48" spans="1:7" x14ac:dyDescent="0.3">
      <c r="A48">
        <v>361</v>
      </c>
      <c r="B48" t="s">
        <v>12</v>
      </c>
      <c r="C48" t="s">
        <v>36</v>
      </c>
      <c r="D48">
        <v>7200</v>
      </c>
      <c r="E48">
        <v>15680</v>
      </c>
      <c r="F48">
        <v>4351.38</v>
      </c>
      <c r="G48">
        <v>4128.62</v>
      </c>
    </row>
    <row r="49" spans="1:7" x14ac:dyDescent="0.3">
      <c r="A49">
        <v>363</v>
      </c>
      <c r="B49" t="s">
        <v>12</v>
      </c>
      <c r="C49" t="s">
        <v>36</v>
      </c>
      <c r="D49">
        <v>7200</v>
      </c>
      <c r="E49">
        <v>15040</v>
      </c>
      <c r="F49">
        <v>4351.38</v>
      </c>
      <c r="G49">
        <v>3488.62</v>
      </c>
    </row>
    <row r="50" spans="1:7" x14ac:dyDescent="0.3">
      <c r="A50">
        <v>364</v>
      </c>
      <c r="B50" t="s">
        <v>12</v>
      </c>
      <c r="C50" t="s">
        <v>36</v>
      </c>
      <c r="D50">
        <v>7200</v>
      </c>
      <c r="E50">
        <v>19520</v>
      </c>
      <c r="F50">
        <v>4351.38</v>
      </c>
      <c r="G50">
        <v>7968.62</v>
      </c>
    </row>
    <row r="51" spans="1:7" x14ac:dyDescent="0.3">
      <c r="A51">
        <v>376</v>
      </c>
      <c r="B51" t="s">
        <v>12</v>
      </c>
      <c r="C51" t="s">
        <v>23</v>
      </c>
      <c r="D51">
        <v>7200</v>
      </c>
      <c r="E51">
        <v>13640</v>
      </c>
      <c r="F51">
        <v>0</v>
      </c>
      <c r="G51">
        <v>6440</v>
      </c>
    </row>
    <row r="52" spans="1:7" x14ac:dyDescent="0.3">
      <c r="A52">
        <v>381</v>
      </c>
      <c r="B52" t="s">
        <v>19</v>
      </c>
      <c r="C52" t="s">
        <v>36</v>
      </c>
      <c r="D52">
        <v>0</v>
      </c>
      <c r="E52">
        <v>0</v>
      </c>
      <c r="F52">
        <v>0</v>
      </c>
      <c r="G52">
        <v>0</v>
      </c>
    </row>
    <row r="53" spans="1:7" x14ac:dyDescent="0.3">
      <c r="D53" s="9">
        <f>SUBTOTAL(109,view_fattening_performance_rows[purchase_price])</f>
        <v>273600</v>
      </c>
      <c r="E53" s="9">
        <f>SUBTOTAL(109,view_fattening_performance_rows[total_sales])</f>
        <v>584552</v>
      </c>
      <c r="F53" s="9">
        <f>SUBTOTAL(109,view_fattening_performance_rows[total_feed_cost])</f>
        <v>143107.52000000002</v>
      </c>
      <c r="G53" s="9">
        <f>SUBTOTAL(109,view_fattening_performance_rows[net_profit])</f>
        <v>167844.47999999995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809A7-2F22-4BA1-AB65-D8C50280D679}">
  <dimension ref="A1:F149"/>
  <sheetViews>
    <sheetView workbookViewId="0">
      <selection activeCell="A2" sqref="A2:A149"/>
    </sheetView>
  </sheetViews>
  <sheetFormatPr defaultRowHeight="14.4" x14ac:dyDescent="0.3"/>
  <cols>
    <col min="1" max="1" width="9.109375" bestFit="1" customWidth="1"/>
    <col min="2" max="2" width="13.109375" bestFit="1" customWidth="1"/>
    <col min="3" max="3" width="14" bestFit="1" customWidth="1"/>
    <col min="4" max="4" width="17.6640625" bestFit="1" customWidth="1"/>
    <col min="5" max="5" width="12" bestFit="1" customWidth="1"/>
    <col min="6" max="6" width="16.33203125" bestFit="1" customWidth="1"/>
  </cols>
  <sheetData>
    <row r="1" spans="1:6" x14ac:dyDescent="0.3">
      <c r="A1" t="s">
        <v>1</v>
      </c>
      <c r="B1" t="s">
        <v>16</v>
      </c>
      <c r="C1" t="s">
        <v>15</v>
      </c>
      <c r="D1" t="s">
        <v>29</v>
      </c>
      <c r="E1" t="s">
        <v>30</v>
      </c>
      <c r="F1" t="s">
        <v>31</v>
      </c>
    </row>
    <row r="2" spans="1:6" x14ac:dyDescent="0.3">
      <c r="A2">
        <v>1</v>
      </c>
      <c r="B2" t="s">
        <v>19</v>
      </c>
      <c r="C2" t="s">
        <v>18</v>
      </c>
      <c r="D2" s="1">
        <v>46075</v>
      </c>
      <c r="E2" s="1"/>
      <c r="F2">
        <v>3</v>
      </c>
    </row>
    <row r="3" spans="1:6" x14ac:dyDescent="0.3">
      <c r="A3">
        <v>2</v>
      </c>
      <c r="B3" t="s">
        <v>19</v>
      </c>
      <c r="C3" t="s">
        <v>18</v>
      </c>
      <c r="D3" s="1">
        <v>46075</v>
      </c>
      <c r="E3" s="1"/>
      <c r="F3">
        <v>3</v>
      </c>
    </row>
    <row r="4" spans="1:6" x14ac:dyDescent="0.3">
      <c r="A4">
        <v>3</v>
      </c>
      <c r="B4" t="s">
        <v>19</v>
      </c>
      <c r="C4" t="s">
        <v>18</v>
      </c>
      <c r="D4" s="1">
        <v>46075</v>
      </c>
      <c r="E4" s="1"/>
      <c r="F4">
        <v>3</v>
      </c>
    </row>
    <row r="5" spans="1:6" x14ac:dyDescent="0.3">
      <c r="A5">
        <v>4</v>
      </c>
      <c r="B5" t="s">
        <v>19</v>
      </c>
      <c r="C5" t="s">
        <v>20</v>
      </c>
      <c r="D5" s="1">
        <v>46075</v>
      </c>
      <c r="E5" s="1"/>
      <c r="F5">
        <v>3</v>
      </c>
    </row>
    <row r="6" spans="1:6" x14ac:dyDescent="0.3">
      <c r="A6">
        <v>6</v>
      </c>
      <c r="B6" t="s">
        <v>19</v>
      </c>
      <c r="C6" t="s">
        <v>18</v>
      </c>
      <c r="D6" s="1">
        <v>46075</v>
      </c>
      <c r="E6" s="1"/>
      <c r="F6">
        <v>3</v>
      </c>
    </row>
    <row r="7" spans="1:6" x14ac:dyDescent="0.3">
      <c r="A7">
        <v>8</v>
      </c>
      <c r="B7" t="s">
        <v>19</v>
      </c>
      <c r="C7" t="s">
        <v>20</v>
      </c>
      <c r="D7" s="1">
        <v>46075</v>
      </c>
      <c r="E7" s="1"/>
      <c r="F7">
        <v>3</v>
      </c>
    </row>
    <row r="8" spans="1:6" x14ac:dyDescent="0.3">
      <c r="A8">
        <v>9</v>
      </c>
      <c r="B8" t="s">
        <v>19</v>
      </c>
      <c r="C8" t="s">
        <v>18</v>
      </c>
      <c r="D8" s="1">
        <v>46075</v>
      </c>
      <c r="E8" s="1"/>
      <c r="F8">
        <v>3</v>
      </c>
    </row>
    <row r="9" spans="1:6" x14ac:dyDescent="0.3">
      <c r="A9">
        <v>10</v>
      </c>
      <c r="B9" t="s">
        <v>19</v>
      </c>
      <c r="C9" t="s">
        <v>18</v>
      </c>
      <c r="D9" s="1">
        <v>46075</v>
      </c>
      <c r="E9" s="1"/>
      <c r="F9">
        <v>3</v>
      </c>
    </row>
    <row r="10" spans="1:6" x14ac:dyDescent="0.3">
      <c r="A10">
        <v>11</v>
      </c>
      <c r="B10" t="s">
        <v>19</v>
      </c>
      <c r="C10" t="s">
        <v>20</v>
      </c>
      <c r="D10" s="1">
        <v>46075</v>
      </c>
      <c r="E10" s="1"/>
      <c r="F10">
        <v>3</v>
      </c>
    </row>
    <row r="11" spans="1:6" x14ac:dyDescent="0.3">
      <c r="A11">
        <v>12</v>
      </c>
      <c r="B11" t="s">
        <v>19</v>
      </c>
      <c r="C11" t="s">
        <v>18</v>
      </c>
      <c r="D11" s="1">
        <v>46075</v>
      </c>
      <c r="E11" s="1"/>
      <c r="F11">
        <v>3</v>
      </c>
    </row>
    <row r="12" spans="1:6" x14ac:dyDescent="0.3">
      <c r="A12">
        <v>14</v>
      </c>
      <c r="B12" t="s">
        <v>19</v>
      </c>
      <c r="C12" t="s">
        <v>23</v>
      </c>
      <c r="D12" s="1">
        <v>46075</v>
      </c>
      <c r="E12" s="1"/>
      <c r="F12">
        <v>0</v>
      </c>
    </row>
    <row r="13" spans="1:6" x14ac:dyDescent="0.3">
      <c r="A13">
        <v>15</v>
      </c>
      <c r="B13" t="s">
        <v>19</v>
      </c>
      <c r="C13" t="s">
        <v>18</v>
      </c>
      <c r="D13" s="1">
        <v>46075</v>
      </c>
      <c r="E13" s="1"/>
      <c r="F13">
        <v>3</v>
      </c>
    </row>
    <row r="14" spans="1:6" x14ac:dyDescent="0.3">
      <c r="A14">
        <v>16</v>
      </c>
      <c r="B14" t="s">
        <v>19</v>
      </c>
      <c r="C14" t="s">
        <v>20</v>
      </c>
      <c r="D14" s="1">
        <v>46075</v>
      </c>
      <c r="E14" s="1"/>
      <c r="F14">
        <v>3</v>
      </c>
    </row>
    <row r="15" spans="1:6" x14ac:dyDescent="0.3">
      <c r="A15">
        <v>18</v>
      </c>
      <c r="B15" t="s">
        <v>19</v>
      </c>
      <c r="C15" t="s">
        <v>18</v>
      </c>
      <c r="D15" s="1">
        <v>46075</v>
      </c>
      <c r="E15" s="1"/>
      <c r="F15">
        <v>3</v>
      </c>
    </row>
    <row r="16" spans="1:6" x14ac:dyDescent="0.3">
      <c r="A16">
        <v>20</v>
      </c>
      <c r="B16" t="s">
        <v>19</v>
      </c>
      <c r="C16" t="s">
        <v>20</v>
      </c>
      <c r="D16" s="1">
        <v>46075</v>
      </c>
      <c r="E16" s="1"/>
      <c r="F16">
        <v>3</v>
      </c>
    </row>
    <row r="17" spans="1:6" x14ac:dyDescent="0.3">
      <c r="A17">
        <v>42</v>
      </c>
      <c r="B17" t="s">
        <v>19</v>
      </c>
      <c r="C17" t="s">
        <v>24</v>
      </c>
      <c r="D17" s="1">
        <v>46075</v>
      </c>
      <c r="E17" s="1"/>
      <c r="F17">
        <v>1.5</v>
      </c>
    </row>
    <row r="18" spans="1:6" x14ac:dyDescent="0.3">
      <c r="A18">
        <v>45</v>
      </c>
      <c r="B18" t="s">
        <v>19</v>
      </c>
      <c r="C18" t="s">
        <v>20</v>
      </c>
      <c r="D18" s="1">
        <v>46075</v>
      </c>
      <c r="E18" s="1"/>
      <c r="F18">
        <v>3</v>
      </c>
    </row>
    <row r="19" spans="1:6" x14ac:dyDescent="0.3">
      <c r="A19">
        <v>51</v>
      </c>
      <c r="B19" t="s">
        <v>19</v>
      </c>
      <c r="C19" t="s">
        <v>25</v>
      </c>
      <c r="D19" s="1">
        <v>46216</v>
      </c>
      <c r="E19" s="1"/>
      <c r="F19">
        <v>3</v>
      </c>
    </row>
    <row r="20" spans="1:6" x14ac:dyDescent="0.3">
      <c r="A20">
        <v>53</v>
      </c>
      <c r="B20" t="s">
        <v>19</v>
      </c>
      <c r="C20" t="s">
        <v>24</v>
      </c>
      <c r="D20" s="1">
        <v>46075</v>
      </c>
      <c r="E20" s="1"/>
      <c r="F20">
        <v>1.5</v>
      </c>
    </row>
    <row r="21" spans="1:6" x14ac:dyDescent="0.3">
      <c r="A21">
        <v>54</v>
      </c>
      <c r="B21" t="s">
        <v>19</v>
      </c>
      <c r="C21" t="s">
        <v>21</v>
      </c>
      <c r="D21" s="1">
        <v>46075</v>
      </c>
      <c r="E21" s="1"/>
      <c r="F21">
        <v>1.5</v>
      </c>
    </row>
    <row r="22" spans="1:6" x14ac:dyDescent="0.3">
      <c r="A22">
        <v>56</v>
      </c>
      <c r="B22" t="s">
        <v>19</v>
      </c>
      <c r="C22" t="s">
        <v>24</v>
      </c>
      <c r="D22" s="1">
        <v>46176</v>
      </c>
      <c r="E22" s="1">
        <v>46176</v>
      </c>
      <c r="F22">
        <v>1.5</v>
      </c>
    </row>
    <row r="23" spans="1:6" x14ac:dyDescent="0.3">
      <c r="A23">
        <v>57</v>
      </c>
      <c r="B23" t="s">
        <v>19</v>
      </c>
      <c r="C23" t="s">
        <v>21</v>
      </c>
      <c r="D23" s="1">
        <v>46176</v>
      </c>
      <c r="E23" s="1">
        <v>46176</v>
      </c>
      <c r="F23">
        <v>1.5</v>
      </c>
    </row>
    <row r="24" spans="1:6" x14ac:dyDescent="0.3">
      <c r="A24">
        <v>58</v>
      </c>
      <c r="B24" t="s">
        <v>19</v>
      </c>
      <c r="C24" t="s">
        <v>21</v>
      </c>
      <c r="D24" s="1">
        <v>46075</v>
      </c>
      <c r="E24" s="1"/>
      <c r="F24">
        <v>1.5</v>
      </c>
    </row>
    <row r="25" spans="1:6" x14ac:dyDescent="0.3">
      <c r="A25">
        <v>60</v>
      </c>
      <c r="B25" t="s">
        <v>19</v>
      </c>
      <c r="C25" t="s">
        <v>18</v>
      </c>
      <c r="D25" s="1">
        <v>46075</v>
      </c>
      <c r="E25" s="1"/>
      <c r="F25">
        <v>3</v>
      </c>
    </row>
    <row r="26" spans="1:6" x14ac:dyDescent="0.3">
      <c r="A26">
        <v>61</v>
      </c>
      <c r="B26" t="s">
        <v>19</v>
      </c>
      <c r="C26" t="s">
        <v>21</v>
      </c>
      <c r="D26" s="1">
        <v>46075</v>
      </c>
      <c r="E26" s="1"/>
      <c r="F26">
        <v>1.5</v>
      </c>
    </row>
    <row r="27" spans="1:6" x14ac:dyDescent="0.3">
      <c r="A27">
        <v>62</v>
      </c>
      <c r="B27" t="s">
        <v>19</v>
      </c>
      <c r="C27" t="s">
        <v>18</v>
      </c>
      <c r="D27" s="1">
        <v>46075</v>
      </c>
      <c r="E27" s="1"/>
      <c r="F27">
        <v>3</v>
      </c>
    </row>
    <row r="28" spans="1:6" x14ac:dyDescent="0.3">
      <c r="A28">
        <v>64</v>
      </c>
      <c r="B28" t="s">
        <v>19</v>
      </c>
      <c r="C28" t="s">
        <v>24</v>
      </c>
      <c r="D28" s="1">
        <v>46075</v>
      </c>
      <c r="E28" s="1"/>
      <c r="F28">
        <v>1.5</v>
      </c>
    </row>
    <row r="29" spans="1:6" x14ac:dyDescent="0.3">
      <c r="A29">
        <v>69</v>
      </c>
      <c r="B29" t="s">
        <v>19</v>
      </c>
      <c r="C29" t="s">
        <v>18</v>
      </c>
      <c r="D29" s="1">
        <v>46075</v>
      </c>
      <c r="E29" s="1"/>
      <c r="F29">
        <v>3</v>
      </c>
    </row>
    <row r="30" spans="1:6" x14ac:dyDescent="0.3">
      <c r="A30">
        <v>70</v>
      </c>
      <c r="B30" t="s">
        <v>19</v>
      </c>
      <c r="C30" t="s">
        <v>21</v>
      </c>
      <c r="D30" s="1">
        <v>46075</v>
      </c>
      <c r="E30" s="1"/>
      <c r="F30">
        <v>1.5</v>
      </c>
    </row>
    <row r="31" spans="1:6" x14ac:dyDescent="0.3">
      <c r="A31">
        <v>71</v>
      </c>
      <c r="B31" t="s">
        <v>19</v>
      </c>
      <c r="C31" t="s">
        <v>18</v>
      </c>
      <c r="D31" s="1">
        <v>46075</v>
      </c>
      <c r="E31" s="1"/>
      <c r="F31">
        <v>3</v>
      </c>
    </row>
    <row r="32" spans="1:6" x14ac:dyDescent="0.3">
      <c r="A32">
        <v>74</v>
      </c>
      <c r="B32" t="s">
        <v>19</v>
      </c>
      <c r="C32" t="s">
        <v>18</v>
      </c>
      <c r="D32" s="1">
        <v>46075</v>
      </c>
      <c r="E32" s="1"/>
      <c r="F32">
        <v>3</v>
      </c>
    </row>
    <row r="33" spans="1:6" x14ac:dyDescent="0.3">
      <c r="A33">
        <v>77</v>
      </c>
      <c r="B33" t="s">
        <v>19</v>
      </c>
      <c r="C33" t="s">
        <v>18</v>
      </c>
      <c r="D33" s="1">
        <v>46075</v>
      </c>
      <c r="E33" s="1"/>
      <c r="F33">
        <v>3</v>
      </c>
    </row>
    <row r="34" spans="1:6" x14ac:dyDescent="0.3">
      <c r="A34">
        <v>78</v>
      </c>
      <c r="B34" t="s">
        <v>19</v>
      </c>
      <c r="C34" t="s">
        <v>18</v>
      </c>
      <c r="D34" s="1">
        <v>46075</v>
      </c>
      <c r="E34" s="1"/>
      <c r="F34">
        <v>3</v>
      </c>
    </row>
    <row r="35" spans="1:6" x14ac:dyDescent="0.3">
      <c r="A35">
        <v>79</v>
      </c>
      <c r="B35" t="s">
        <v>19</v>
      </c>
      <c r="C35" t="s">
        <v>21</v>
      </c>
      <c r="D35" s="1">
        <v>46075</v>
      </c>
      <c r="E35" s="1"/>
      <c r="F35">
        <v>1.5</v>
      </c>
    </row>
    <row r="36" spans="1:6" x14ac:dyDescent="0.3">
      <c r="A36">
        <v>80</v>
      </c>
      <c r="B36" t="s">
        <v>19</v>
      </c>
      <c r="C36" t="s">
        <v>21</v>
      </c>
      <c r="D36" s="1">
        <v>46075</v>
      </c>
      <c r="E36" s="1"/>
      <c r="F36">
        <v>1.5</v>
      </c>
    </row>
    <row r="37" spans="1:6" x14ac:dyDescent="0.3">
      <c r="A37">
        <v>84</v>
      </c>
      <c r="B37" t="s">
        <v>19</v>
      </c>
      <c r="C37" t="s">
        <v>21</v>
      </c>
      <c r="D37" s="1">
        <v>46075</v>
      </c>
      <c r="E37" s="1"/>
      <c r="F37">
        <v>1.5</v>
      </c>
    </row>
    <row r="38" spans="1:6" x14ac:dyDescent="0.3">
      <c r="A38">
        <v>85</v>
      </c>
      <c r="B38" t="s">
        <v>19</v>
      </c>
      <c r="C38" t="s">
        <v>21</v>
      </c>
      <c r="D38" s="1">
        <v>46075</v>
      </c>
      <c r="E38" s="1"/>
      <c r="F38">
        <v>1.5</v>
      </c>
    </row>
    <row r="39" spans="1:6" x14ac:dyDescent="0.3">
      <c r="A39">
        <v>86</v>
      </c>
      <c r="B39" t="s">
        <v>19</v>
      </c>
      <c r="C39" t="s">
        <v>20</v>
      </c>
      <c r="D39" s="1">
        <v>46075</v>
      </c>
      <c r="E39" s="1"/>
      <c r="F39">
        <v>3</v>
      </c>
    </row>
    <row r="40" spans="1:6" x14ac:dyDescent="0.3">
      <c r="A40">
        <v>87</v>
      </c>
      <c r="B40" t="s">
        <v>19</v>
      </c>
      <c r="C40" t="s">
        <v>18</v>
      </c>
      <c r="D40" s="1">
        <v>46075</v>
      </c>
      <c r="E40" s="1"/>
      <c r="F40">
        <v>3</v>
      </c>
    </row>
    <row r="41" spans="1:6" x14ac:dyDescent="0.3">
      <c r="A41">
        <v>89</v>
      </c>
      <c r="B41" t="s">
        <v>19</v>
      </c>
      <c r="C41" t="s">
        <v>20</v>
      </c>
      <c r="D41" s="1">
        <v>46075</v>
      </c>
      <c r="E41" s="1"/>
      <c r="F41">
        <v>3</v>
      </c>
    </row>
    <row r="42" spans="1:6" x14ac:dyDescent="0.3">
      <c r="A42">
        <v>90</v>
      </c>
      <c r="B42" t="s">
        <v>19</v>
      </c>
      <c r="C42" t="s">
        <v>20</v>
      </c>
      <c r="D42" s="1">
        <v>46075</v>
      </c>
      <c r="E42" s="1"/>
      <c r="F42">
        <v>3</v>
      </c>
    </row>
    <row r="43" spans="1:6" x14ac:dyDescent="0.3">
      <c r="A43">
        <v>92</v>
      </c>
      <c r="B43" t="s">
        <v>19</v>
      </c>
      <c r="C43" t="s">
        <v>20</v>
      </c>
      <c r="D43" s="1">
        <v>46075</v>
      </c>
      <c r="E43" s="1"/>
      <c r="F43">
        <v>3</v>
      </c>
    </row>
    <row r="44" spans="1:6" x14ac:dyDescent="0.3">
      <c r="A44">
        <v>96</v>
      </c>
      <c r="B44" t="s">
        <v>19</v>
      </c>
      <c r="C44" t="s">
        <v>25</v>
      </c>
      <c r="D44" s="1">
        <v>46075</v>
      </c>
      <c r="E44" s="1"/>
      <c r="F44">
        <v>3</v>
      </c>
    </row>
    <row r="45" spans="1:6" x14ac:dyDescent="0.3">
      <c r="A45">
        <v>100</v>
      </c>
      <c r="B45" t="s">
        <v>19</v>
      </c>
      <c r="C45" t="s">
        <v>20</v>
      </c>
      <c r="D45" s="1">
        <v>46216</v>
      </c>
      <c r="E45" s="1"/>
      <c r="F45">
        <v>3</v>
      </c>
    </row>
    <row r="46" spans="1:6" x14ac:dyDescent="0.3">
      <c r="A46">
        <v>103</v>
      </c>
      <c r="B46" t="s">
        <v>19</v>
      </c>
      <c r="C46" t="s">
        <v>20</v>
      </c>
      <c r="D46" s="1">
        <v>46075</v>
      </c>
      <c r="E46" s="1"/>
      <c r="F46">
        <v>3</v>
      </c>
    </row>
    <row r="47" spans="1:6" x14ac:dyDescent="0.3">
      <c r="A47">
        <v>105</v>
      </c>
      <c r="B47" t="s">
        <v>19</v>
      </c>
      <c r="C47" t="s">
        <v>18</v>
      </c>
      <c r="D47" s="1">
        <v>46216</v>
      </c>
      <c r="E47" s="1"/>
      <c r="F47">
        <v>3</v>
      </c>
    </row>
    <row r="48" spans="1:6" x14ac:dyDescent="0.3">
      <c r="A48">
        <v>106</v>
      </c>
      <c r="B48" t="s">
        <v>19</v>
      </c>
      <c r="C48" t="s">
        <v>18</v>
      </c>
      <c r="D48" s="1">
        <v>46075</v>
      </c>
      <c r="E48" s="1"/>
      <c r="F48">
        <v>3</v>
      </c>
    </row>
    <row r="49" spans="1:6" x14ac:dyDescent="0.3">
      <c r="A49">
        <v>107</v>
      </c>
      <c r="B49" t="s">
        <v>19</v>
      </c>
      <c r="C49" t="s">
        <v>18</v>
      </c>
      <c r="D49" s="1">
        <v>46075</v>
      </c>
      <c r="E49" s="1"/>
      <c r="F49">
        <v>3</v>
      </c>
    </row>
    <row r="50" spans="1:6" x14ac:dyDescent="0.3">
      <c r="A50">
        <v>108</v>
      </c>
      <c r="B50" t="s">
        <v>19</v>
      </c>
      <c r="C50" t="s">
        <v>27</v>
      </c>
      <c r="D50" s="1">
        <v>46216</v>
      </c>
      <c r="E50" s="1"/>
      <c r="F50">
        <v>1.5</v>
      </c>
    </row>
    <row r="51" spans="1:6" x14ac:dyDescent="0.3">
      <c r="A51">
        <v>109</v>
      </c>
      <c r="B51" t="s">
        <v>19</v>
      </c>
      <c r="C51" t="s">
        <v>20</v>
      </c>
      <c r="D51" s="1">
        <v>46075</v>
      </c>
      <c r="E51" s="1"/>
      <c r="F51">
        <v>3</v>
      </c>
    </row>
    <row r="52" spans="1:6" x14ac:dyDescent="0.3">
      <c r="A52">
        <v>110</v>
      </c>
      <c r="B52" t="s">
        <v>19</v>
      </c>
      <c r="C52" t="s">
        <v>18</v>
      </c>
      <c r="D52" s="1">
        <v>46075</v>
      </c>
      <c r="E52" s="1"/>
      <c r="F52">
        <v>3</v>
      </c>
    </row>
    <row r="53" spans="1:6" x14ac:dyDescent="0.3">
      <c r="A53">
        <v>111</v>
      </c>
      <c r="B53" t="s">
        <v>19</v>
      </c>
      <c r="C53" t="s">
        <v>18</v>
      </c>
      <c r="D53" s="1">
        <v>46075</v>
      </c>
      <c r="E53" s="1"/>
      <c r="F53">
        <v>3</v>
      </c>
    </row>
    <row r="54" spans="1:6" x14ac:dyDescent="0.3">
      <c r="A54">
        <v>112</v>
      </c>
      <c r="B54" t="s">
        <v>19</v>
      </c>
      <c r="C54" t="s">
        <v>18</v>
      </c>
      <c r="D54" s="1">
        <v>46075</v>
      </c>
      <c r="E54" s="1"/>
      <c r="F54">
        <v>3</v>
      </c>
    </row>
    <row r="55" spans="1:6" x14ac:dyDescent="0.3">
      <c r="A55">
        <v>115</v>
      </c>
      <c r="B55" t="s">
        <v>19</v>
      </c>
      <c r="C55" t="s">
        <v>18</v>
      </c>
      <c r="D55" s="1">
        <v>46075</v>
      </c>
      <c r="E55" s="1"/>
      <c r="F55">
        <v>3</v>
      </c>
    </row>
    <row r="56" spans="1:6" x14ac:dyDescent="0.3">
      <c r="A56">
        <v>119</v>
      </c>
      <c r="B56" t="s">
        <v>19</v>
      </c>
      <c r="C56" t="s">
        <v>18</v>
      </c>
      <c r="D56" s="1">
        <v>46075</v>
      </c>
      <c r="E56" s="1"/>
      <c r="F56">
        <v>3</v>
      </c>
    </row>
    <row r="57" spans="1:6" x14ac:dyDescent="0.3">
      <c r="A57">
        <v>120</v>
      </c>
      <c r="B57" t="s">
        <v>19</v>
      </c>
      <c r="C57" t="s">
        <v>21</v>
      </c>
      <c r="D57" s="1">
        <v>46075</v>
      </c>
      <c r="E57" s="1"/>
      <c r="F57">
        <v>1.5</v>
      </c>
    </row>
    <row r="58" spans="1:6" x14ac:dyDescent="0.3">
      <c r="A58">
        <v>121</v>
      </c>
      <c r="B58" t="s">
        <v>19</v>
      </c>
      <c r="C58" t="s">
        <v>20</v>
      </c>
      <c r="D58" s="1">
        <v>46075</v>
      </c>
      <c r="E58" s="1"/>
      <c r="F58">
        <v>3</v>
      </c>
    </row>
    <row r="59" spans="1:6" x14ac:dyDescent="0.3">
      <c r="A59">
        <v>125</v>
      </c>
      <c r="B59" t="s">
        <v>19</v>
      </c>
      <c r="C59" t="s">
        <v>18</v>
      </c>
      <c r="D59" s="1">
        <v>46075</v>
      </c>
      <c r="E59" s="1"/>
      <c r="F59">
        <v>3</v>
      </c>
    </row>
    <row r="60" spans="1:6" x14ac:dyDescent="0.3">
      <c r="A60">
        <v>127</v>
      </c>
      <c r="B60" t="s">
        <v>19</v>
      </c>
      <c r="C60" t="s">
        <v>20</v>
      </c>
      <c r="D60" s="1">
        <v>46075</v>
      </c>
      <c r="E60" s="1"/>
      <c r="F60">
        <v>3</v>
      </c>
    </row>
    <row r="61" spans="1:6" x14ac:dyDescent="0.3">
      <c r="A61">
        <v>128</v>
      </c>
      <c r="B61" t="s">
        <v>19</v>
      </c>
      <c r="C61" t="s">
        <v>20</v>
      </c>
      <c r="D61" s="1">
        <v>46075</v>
      </c>
      <c r="E61" s="1"/>
      <c r="F61">
        <v>3</v>
      </c>
    </row>
    <row r="62" spans="1:6" x14ac:dyDescent="0.3">
      <c r="A62">
        <v>132</v>
      </c>
      <c r="B62" t="s">
        <v>19</v>
      </c>
      <c r="C62" t="s">
        <v>18</v>
      </c>
      <c r="D62" s="1">
        <v>46075</v>
      </c>
      <c r="E62" s="1"/>
      <c r="F62">
        <v>3</v>
      </c>
    </row>
    <row r="63" spans="1:6" x14ac:dyDescent="0.3">
      <c r="A63">
        <v>134</v>
      </c>
      <c r="B63" t="s">
        <v>19</v>
      </c>
      <c r="C63" t="s">
        <v>20</v>
      </c>
      <c r="D63" s="1">
        <v>46075</v>
      </c>
      <c r="E63" s="1"/>
      <c r="F63">
        <v>3</v>
      </c>
    </row>
    <row r="64" spans="1:6" x14ac:dyDescent="0.3">
      <c r="A64">
        <v>135</v>
      </c>
      <c r="B64" t="s">
        <v>19</v>
      </c>
      <c r="C64" t="s">
        <v>20</v>
      </c>
      <c r="D64" s="1">
        <v>46075</v>
      </c>
      <c r="E64" s="1"/>
      <c r="F64">
        <v>3</v>
      </c>
    </row>
    <row r="65" spans="1:6" x14ac:dyDescent="0.3">
      <c r="A65">
        <v>137</v>
      </c>
      <c r="B65" t="s">
        <v>19</v>
      </c>
      <c r="C65" t="s">
        <v>21</v>
      </c>
      <c r="D65" s="1">
        <v>46075</v>
      </c>
      <c r="E65" s="1"/>
      <c r="F65">
        <v>1.5</v>
      </c>
    </row>
    <row r="66" spans="1:6" x14ac:dyDescent="0.3">
      <c r="A66">
        <v>138</v>
      </c>
      <c r="B66" t="s">
        <v>19</v>
      </c>
      <c r="C66" t="s">
        <v>18</v>
      </c>
      <c r="D66" s="1">
        <v>46075</v>
      </c>
      <c r="E66" s="1"/>
      <c r="F66">
        <v>3</v>
      </c>
    </row>
    <row r="67" spans="1:6" x14ac:dyDescent="0.3">
      <c r="A67">
        <v>140</v>
      </c>
      <c r="B67" t="s">
        <v>19</v>
      </c>
      <c r="C67" t="s">
        <v>20</v>
      </c>
      <c r="D67" s="1">
        <v>46075</v>
      </c>
      <c r="E67" s="1"/>
      <c r="F67">
        <v>3</v>
      </c>
    </row>
    <row r="68" spans="1:6" x14ac:dyDescent="0.3">
      <c r="A68">
        <v>141</v>
      </c>
      <c r="B68" t="s">
        <v>19</v>
      </c>
      <c r="C68" t="s">
        <v>18</v>
      </c>
      <c r="D68" s="1">
        <v>46075</v>
      </c>
      <c r="E68" s="1"/>
      <c r="F68">
        <v>3</v>
      </c>
    </row>
    <row r="69" spans="1:6" x14ac:dyDescent="0.3">
      <c r="A69">
        <v>143</v>
      </c>
      <c r="B69" t="s">
        <v>19</v>
      </c>
      <c r="C69" t="s">
        <v>18</v>
      </c>
      <c r="D69" s="1">
        <v>46075</v>
      </c>
      <c r="E69" s="1"/>
      <c r="F69">
        <v>3</v>
      </c>
    </row>
    <row r="70" spans="1:6" x14ac:dyDescent="0.3">
      <c r="A70">
        <v>146</v>
      </c>
      <c r="B70" t="s">
        <v>19</v>
      </c>
      <c r="C70" t="s">
        <v>20</v>
      </c>
      <c r="D70" s="1">
        <v>46075</v>
      </c>
      <c r="E70" s="1"/>
      <c r="F70">
        <v>3</v>
      </c>
    </row>
    <row r="71" spans="1:6" x14ac:dyDescent="0.3">
      <c r="A71">
        <v>147</v>
      </c>
      <c r="B71" t="s">
        <v>19</v>
      </c>
      <c r="C71" t="s">
        <v>18</v>
      </c>
      <c r="D71" s="1">
        <v>46075</v>
      </c>
      <c r="E71" s="1"/>
      <c r="F71">
        <v>3</v>
      </c>
    </row>
    <row r="72" spans="1:6" x14ac:dyDescent="0.3">
      <c r="A72">
        <v>149</v>
      </c>
      <c r="B72" t="s">
        <v>19</v>
      </c>
      <c r="C72" t="s">
        <v>18</v>
      </c>
      <c r="D72" s="1">
        <v>46075</v>
      </c>
      <c r="E72" s="1"/>
      <c r="F72">
        <v>3</v>
      </c>
    </row>
    <row r="73" spans="1:6" x14ac:dyDescent="0.3">
      <c r="A73">
        <v>151</v>
      </c>
      <c r="B73" t="s">
        <v>19</v>
      </c>
      <c r="C73" t="s">
        <v>25</v>
      </c>
      <c r="D73" s="1">
        <v>46075</v>
      </c>
      <c r="E73" s="1"/>
      <c r="F73">
        <v>3</v>
      </c>
    </row>
    <row r="74" spans="1:6" x14ac:dyDescent="0.3">
      <c r="A74">
        <v>152</v>
      </c>
      <c r="B74" t="s">
        <v>19</v>
      </c>
      <c r="C74" t="s">
        <v>18</v>
      </c>
      <c r="D74" s="1">
        <v>46075</v>
      </c>
      <c r="E74" s="1"/>
      <c r="F74">
        <v>3</v>
      </c>
    </row>
    <row r="75" spans="1:6" x14ac:dyDescent="0.3">
      <c r="A75">
        <v>158</v>
      </c>
      <c r="B75" t="s">
        <v>19</v>
      </c>
      <c r="C75" t="s">
        <v>18</v>
      </c>
      <c r="D75" s="1">
        <v>46075</v>
      </c>
      <c r="E75" s="1"/>
      <c r="F75">
        <v>3</v>
      </c>
    </row>
    <row r="76" spans="1:6" x14ac:dyDescent="0.3">
      <c r="A76">
        <v>163</v>
      </c>
      <c r="B76" t="s">
        <v>19</v>
      </c>
      <c r="C76" t="s">
        <v>18</v>
      </c>
      <c r="D76" s="1">
        <v>46075</v>
      </c>
      <c r="E76" s="1"/>
      <c r="F76">
        <v>3</v>
      </c>
    </row>
    <row r="77" spans="1:6" x14ac:dyDescent="0.3">
      <c r="A77">
        <v>164</v>
      </c>
      <c r="B77" t="s">
        <v>19</v>
      </c>
      <c r="C77" t="s">
        <v>21</v>
      </c>
      <c r="D77" s="1">
        <v>46075</v>
      </c>
      <c r="E77" s="1"/>
      <c r="F77">
        <v>1.5</v>
      </c>
    </row>
    <row r="78" spans="1:6" x14ac:dyDescent="0.3">
      <c r="A78">
        <v>165</v>
      </c>
      <c r="B78" t="s">
        <v>19</v>
      </c>
      <c r="C78" t="s">
        <v>20</v>
      </c>
      <c r="D78" s="1">
        <v>46075</v>
      </c>
      <c r="E78" s="1"/>
      <c r="F78">
        <v>3</v>
      </c>
    </row>
    <row r="79" spans="1:6" x14ac:dyDescent="0.3">
      <c r="A79">
        <v>167</v>
      </c>
      <c r="B79" t="s">
        <v>19</v>
      </c>
      <c r="C79" t="s">
        <v>20</v>
      </c>
      <c r="D79" s="1">
        <v>46075</v>
      </c>
      <c r="E79" s="1"/>
      <c r="F79">
        <v>3</v>
      </c>
    </row>
    <row r="80" spans="1:6" x14ac:dyDescent="0.3">
      <c r="A80">
        <v>168</v>
      </c>
      <c r="B80" t="s">
        <v>19</v>
      </c>
      <c r="C80" t="s">
        <v>18</v>
      </c>
      <c r="D80" s="1">
        <v>46075</v>
      </c>
      <c r="E80" s="1"/>
      <c r="F80">
        <v>3</v>
      </c>
    </row>
    <row r="81" spans="1:6" x14ac:dyDescent="0.3">
      <c r="A81">
        <v>182</v>
      </c>
      <c r="B81" t="s">
        <v>19</v>
      </c>
      <c r="C81" t="s">
        <v>18</v>
      </c>
      <c r="D81" s="1">
        <v>46075</v>
      </c>
      <c r="E81" s="1"/>
      <c r="F81">
        <v>3</v>
      </c>
    </row>
    <row r="82" spans="1:6" x14ac:dyDescent="0.3">
      <c r="A82">
        <v>183</v>
      </c>
      <c r="B82" t="s">
        <v>19</v>
      </c>
      <c r="C82" t="s">
        <v>18</v>
      </c>
      <c r="D82" s="1">
        <v>46075</v>
      </c>
      <c r="E82" s="1"/>
      <c r="F82">
        <v>3</v>
      </c>
    </row>
    <row r="83" spans="1:6" x14ac:dyDescent="0.3">
      <c r="A83">
        <v>184</v>
      </c>
      <c r="B83" t="s">
        <v>19</v>
      </c>
      <c r="C83" t="s">
        <v>18</v>
      </c>
      <c r="D83" s="1">
        <v>46075</v>
      </c>
      <c r="E83" s="1"/>
      <c r="F83">
        <v>3</v>
      </c>
    </row>
    <row r="84" spans="1:6" x14ac:dyDescent="0.3">
      <c r="A84">
        <v>185</v>
      </c>
      <c r="B84" t="s">
        <v>19</v>
      </c>
      <c r="C84" t="s">
        <v>21</v>
      </c>
      <c r="D84" s="1">
        <v>46075</v>
      </c>
      <c r="E84" s="1"/>
      <c r="F84">
        <v>1.5</v>
      </c>
    </row>
    <row r="85" spans="1:6" x14ac:dyDescent="0.3">
      <c r="A85">
        <v>186</v>
      </c>
      <c r="B85" t="s">
        <v>19</v>
      </c>
      <c r="C85" t="s">
        <v>18</v>
      </c>
      <c r="D85" s="1">
        <v>46075</v>
      </c>
      <c r="E85" s="1"/>
      <c r="F85">
        <v>3</v>
      </c>
    </row>
    <row r="86" spans="1:6" x14ac:dyDescent="0.3">
      <c r="A86">
        <v>187</v>
      </c>
      <c r="B86" t="s">
        <v>19</v>
      </c>
      <c r="C86" t="s">
        <v>18</v>
      </c>
      <c r="D86" s="1">
        <v>46075</v>
      </c>
      <c r="E86" s="1"/>
      <c r="F86">
        <v>3</v>
      </c>
    </row>
    <row r="87" spans="1:6" x14ac:dyDescent="0.3">
      <c r="A87">
        <v>190</v>
      </c>
      <c r="B87" t="s">
        <v>19</v>
      </c>
      <c r="C87" t="s">
        <v>18</v>
      </c>
      <c r="D87" s="1">
        <v>46216</v>
      </c>
      <c r="E87" s="1"/>
      <c r="F87">
        <v>3</v>
      </c>
    </row>
    <row r="88" spans="1:6" x14ac:dyDescent="0.3">
      <c r="A88">
        <v>191</v>
      </c>
      <c r="B88" t="s">
        <v>19</v>
      </c>
      <c r="C88" t="s">
        <v>18</v>
      </c>
      <c r="D88" s="1">
        <v>46075</v>
      </c>
      <c r="E88" s="1"/>
      <c r="F88">
        <v>3</v>
      </c>
    </row>
    <row r="89" spans="1:6" x14ac:dyDescent="0.3">
      <c r="A89">
        <v>192</v>
      </c>
      <c r="B89" t="s">
        <v>19</v>
      </c>
      <c r="C89" t="s">
        <v>20</v>
      </c>
      <c r="D89" s="1">
        <v>46075</v>
      </c>
      <c r="E89" s="1"/>
      <c r="F89">
        <v>3</v>
      </c>
    </row>
    <row r="90" spans="1:6" x14ac:dyDescent="0.3">
      <c r="A90">
        <v>193</v>
      </c>
      <c r="B90" t="s">
        <v>19</v>
      </c>
      <c r="C90" t="s">
        <v>20</v>
      </c>
      <c r="D90" s="1">
        <v>46075</v>
      </c>
      <c r="E90" s="1"/>
      <c r="F90">
        <v>3</v>
      </c>
    </row>
    <row r="91" spans="1:6" x14ac:dyDescent="0.3">
      <c r="A91">
        <v>195</v>
      </c>
      <c r="B91" t="s">
        <v>19</v>
      </c>
      <c r="C91" t="s">
        <v>21</v>
      </c>
      <c r="D91" s="1">
        <v>46075</v>
      </c>
      <c r="E91" s="1"/>
      <c r="F91">
        <v>1.5</v>
      </c>
    </row>
    <row r="92" spans="1:6" x14ac:dyDescent="0.3">
      <c r="A92">
        <v>196</v>
      </c>
      <c r="B92" t="s">
        <v>19</v>
      </c>
      <c r="C92" t="s">
        <v>18</v>
      </c>
      <c r="D92" s="1">
        <v>46075</v>
      </c>
      <c r="E92" s="1"/>
      <c r="F92">
        <v>3</v>
      </c>
    </row>
    <row r="93" spans="1:6" x14ac:dyDescent="0.3">
      <c r="A93">
        <v>301</v>
      </c>
      <c r="B93" t="s">
        <v>19</v>
      </c>
      <c r="C93" t="s">
        <v>21</v>
      </c>
      <c r="D93" s="1">
        <v>46075</v>
      </c>
      <c r="E93" s="1"/>
      <c r="F93">
        <v>1.5</v>
      </c>
    </row>
    <row r="94" spans="1:6" x14ac:dyDescent="0.3">
      <c r="A94">
        <v>302</v>
      </c>
      <c r="B94" t="s">
        <v>19</v>
      </c>
      <c r="C94" t="s">
        <v>24</v>
      </c>
      <c r="D94" s="1">
        <v>46075</v>
      </c>
      <c r="E94" s="1"/>
      <c r="F94">
        <v>1.5</v>
      </c>
    </row>
    <row r="95" spans="1:6" x14ac:dyDescent="0.3">
      <c r="A95">
        <v>304</v>
      </c>
      <c r="B95" t="s">
        <v>19</v>
      </c>
      <c r="C95" t="s">
        <v>24</v>
      </c>
      <c r="D95" s="1">
        <v>46075</v>
      </c>
      <c r="E95" s="1"/>
      <c r="F95">
        <v>1.5</v>
      </c>
    </row>
    <row r="96" spans="1:6" x14ac:dyDescent="0.3">
      <c r="A96">
        <v>305</v>
      </c>
      <c r="B96" t="s">
        <v>19</v>
      </c>
      <c r="C96" t="s">
        <v>21</v>
      </c>
      <c r="D96" s="1">
        <v>46075</v>
      </c>
      <c r="E96" s="1"/>
      <c r="F96">
        <v>1.5</v>
      </c>
    </row>
    <row r="97" spans="1:6" x14ac:dyDescent="0.3">
      <c r="A97">
        <v>306</v>
      </c>
      <c r="B97" t="s">
        <v>19</v>
      </c>
      <c r="C97" t="s">
        <v>21</v>
      </c>
      <c r="D97" s="1">
        <v>46075</v>
      </c>
      <c r="E97" s="1"/>
      <c r="F97">
        <v>1.5</v>
      </c>
    </row>
    <row r="98" spans="1:6" x14ac:dyDescent="0.3">
      <c r="A98">
        <v>307</v>
      </c>
      <c r="B98" t="s">
        <v>19</v>
      </c>
      <c r="C98" t="s">
        <v>18</v>
      </c>
      <c r="D98" s="1">
        <v>46075</v>
      </c>
      <c r="E98" s="1"/>
      <c r="F98">
        <v>3</v>
      </c>
    </row>
    <row r="99" spans="1:6" x14ac:dyDescent="0.3">
      <c r="A99">
        <v>308</v>
      </c>
      <c r="B99" t="s">
        <v>19</v>
      </c>
      <c r="C99" t="s">
        <v>21</v>
      </c>
      <c r="D99" s="1">
        <v>46075</v>
      </c>
      <c r="E99" s="1"/>
      <c r="F99">
        <v>1.5</v>
      </c>
    </row>
    <row r="100" spans="1:6" x14ac:dyDescent="0.3">
      <c r="A100">
        <v>309</v>
      </c>
      <c r="B100" t="s">
        <v>19</v>
      </c>
      <c r="C100" t="s">
        <v>18</v>
      </c>
      <c r="D100" s="1">
        <v>46075</v>
      </c>
      <c r="E100" s="1"/>
      <c r="F100">
        <v>3</v>
      </c>
    </row>
    <row r="101" spans="1:6" x14ac:dyDescent="0.3">
      <c r="A101">
        <v>310</v>
      </c>
      <c r="B101" t="s">
        <v>19</v>
      </c>
      <c r="C101" t="s">
        <v>24</v>
      </c>
      <c r="D101" s="1">
        <v>46075</v>
      </c>
      <c r="E101" s="1"/>
      <c r="F101">
        <v>1.5</v>
      </c>
    </row>
    <row r="102" spans="1:6" x14ac:dyDescent="0.3">
      <c r="A102">
        <v>311</v>
      </c>
      <c r="B102" t="s">
        <v>19</v>
      </c>
      <c r="C102" t="s">
        <v>20</v>
      </c>
      <c r="D102" s="1">
        <v>46075</v>
      </c>
      <c r="E102" s="1"/>
      <c r="F102">
        <v>3</v>
      </c>
    </row>
    <row r="103" spans="1:6" x14ac:dyDescent="0.3">
      <c r="A103">
        <v>312</v>
      </c>
      <c r="B103" t="s">
        <v>19</v>
      </c>
      <c r="C103" t="s">
        <v>18</v>
      </c>
      <c r="D103" s="1">
        <v>46075</v>
      </c>
      <c r="E103" s="1"/>
      <c r="F103">
        <v>3</v>
      </c>
    </row>
    <row r="104" spans="1:6" x14ac:dyDescent="0.3">
      <c r="A104">
        <v>313</v>
      </c>
      <c r="B104" t="s">
        <v>19</v>
      </c>
      <c r="C104" t="s">
        <v>23</v>
      </c>
      <c r="D104" s="1">
        <v>46075</v>
      </c>
      <c r="E104" s="1">
        <v>46124</v>
      </c>
      <c r="F104">
        <v>0</v>
      </c>
    </row>
    <row r="105" spans="1:6" x14ac:dyDescent="0.3">
      <c r="A105">
        <v>314</v>
      </c>
      <c r="B105" t="s">
        <v>19</v>
      </c>
      <c r="C105" t="s">
        <v>27</v>
      </c>
      <c r="D105" s="1">
        <v>46216</v>
      </c>
      <c r="E105" s="1"/>
      <c r="F105">
        <v>1.5</v>
      </c>
    </row>
    <row r="106" spans="1:6" x14ac:dyDescent="0.3">
      <c r="A106">
        <v>315</v>
      </c>
      <c r="B106" t="s">
        <v>19</v>
      </c>
      <c r="C106" t="s">
        <v>27</v>
      </c>
      <c r="D106" s="1">
        <v>46208</v>
      </c>
      <c r="E106" s="1">
        <v>46208</v>
      </c>
      <c r="F106">
        <v>1.5</v>
      </c>
    </row>
    <row r="107" spans="1:6" x14ac:dyDescent="0.3">
      <c r="A107">
        <v>316</v>
      </c>
      <c r="B107" t="s">
        <v>19</v>
      </c>
      <c r="C107" t="s">
        <v>28</v>
      </c>
      <c r="D107" s="1">
        <v>46216</v>
      </c>
      <c r="E107" s="1"/>
      <c r="F107">
        <v>1.5</v>
      </c>
    </row>
    <row r="108" spans="1:6" x14ac:dyDescent="0.3">
      <c r="A108">
        <v>317</v>
      </c>
      <c r="B108" t="s">
        <v>19</v>
      </c>
      <c r="C108" t="s">
        <v>18</v>
      </c>
      <c r="D108" s="1">
        <v>46075</v>
      </c>
      <c r="E108" s="1"/>
      <c r="F108">
        <v>3</v>
      </c>
    </row>
    <row r="109" spans="1:6" x14ac:dyDescent="0.3">
      <c r="A109">
        <v>318</v>
      </c>
      <c r="B109" t="s">
        <v>19</v>
      </c>
      <c r="C109" t="s">
        <v>18</v>
      </c>
      <c r="D109" s="1">
        <v>46075</v>
      </c>
      <c r="E109" s="1"/>
      <c r="F109">
        <v>3</v>
      </c>
    </row>
    <row r="110" spans="1:6" x14ac:dyDescent="0.3">
      <c r="A110">
        <v>319</v>
      </c>
      <c r="B110" t="s">
        <v>19</v>
      </c>
      <c r="C110" t="s">
        <v>18</v>
      </c>
      <c r="D110" s="1">
        <v>46075</v>
      </c>
      <c r="E110" s="1"/>
      <c r="F110">
        <v>3</v>
      </c>
    </row>
    <row r="111" spans="1:6" x14ac:dyDescent="0.3">
      <c r="A111">
        <v>320</v>
      </c>
      <c r="B111" t="s">
        <v>19</v>
      </c>
      <c r="C111" t="s">
        <v>20</v>
      </c>
      <c r="D111" s="1">
        <v>46075</v>
      </c>
      <c r="E111" s="1"/>
      <c r="F111">
        <v>3</v>
      </c>
    </row>
    <row r="112" spans="1:6" x14ac:dyDescent="0.3">
      <c r="A112">
        <v>322</v>
      </c>
      <c r="B112" t="s">
        <v>19</v>
      </c>
      <c r="C112" t="s">
        <v>21</v>
      </c>
      <c r="D112" s="1">
        <v>46075</v>
      </c>
      <c r="E112" s="1"/>
      <c r="F112">
        <v>1.5</v>
      </c>
    </row>
    <row r="113" spans="1:6" x14ac:dyDescent="0.3">
      <c r="A113">
        <v>324</v>
      </c>
      <c r="B113" t="s">
        <v>19</v>
      </c>
      <c r="C113" t="s">
        <v>21</v>
      </c>
      <c r="D113" s="1">
        <v>46075</v>
      </c>
      <c r="E113" s="1"/>
      <c r="F113">
        <v>1.5</v>
      </c>
    </row>
    <row r="114" spans="1:6" x14ac:dyDescent="0.3">
      <c r="A114">
        <v>325</v>
      </c>
      <c r="B114" t="s">
        <v>19</v>
      </c>
      <c r="C114" t="s">
        <v>23</v>
      </c>
      <c r="D114" s="1">
        <v>46075</v>
      </c>
      <c r="E114" s="1"/>
      <c r="F114">
        <v>0</v>
      </c>
    </row>
    <row r="115" spans="1:6" x14ac:dyDescent="0.3">
      <c r="A115">
        <v>326</v>
      </c>
      <c r="B115" t="s">
        <v>19</v>
      </c>
      <c r="C115" t="s">
        <v>23</v>
      </c>
      <c r="D115" s="1">
        <v>46075</v>
      </c>
      <c r="E115" s="1"/>
      <c r="F115">
        <v>0</v>
      </c>
    </row>
    <row r="116" spans="1:6" x14ac:dyDescent="0.3">
      <c r="A116">
        <v>327</v>
      </c>
      <c r="B116" t="s">
        <v>19</v>
      </c>
      <c r="C116" t="s">
        <v>24</v>
      </c>
      <c r="D116" s="1">
        <v>46075</v>
      </c>
      <c r="E116" s="1"/>
      <c r="F116">
        <v>1.5</v>
      </c>
    </row>
    <row r="117" spans="1:6" x14ac:dyDescent="0.3">
      <c r="A117">
        <v>328</v>
      </c>
      <c r="B117" t="s">
        <v>19</v>
      </c>
      <c r="C117" t="s">
        <v>21</v>
      </c>
      <c r="D117" s="1">
        <v>46075</v>
      </c>
      <c r="E117" s="1"/>
      <c r="F117">
        <v>1.5</v>
      </c>
    </row>
    <row r="118" spans="1:6" x14ac:dyDescent="0.3">
      <c r="A118">
        <v>330</v>
      </c>
      <c r="B118" t="s">
        <v>19</v>
      </c>
      <c r="C118" t="s">
        <v>24</v>
      </c>
      <c r="D118" s="1">
        <v>46075</v>
      </c>
      <c r="E118" s="1"/>
      <c r="F118">
        <v>1.5</v>
      </c>
    </row>
    <row r="119" spans="1:6" x14ac:dyDescent="0.3">
      <c r="A119">
        <v>331</v>
      </c>
      <c r="B119" t="s">
        <v>19</v>
      </c>
      <c r="C119" t="s">
        <v>23</v>
      </c>
      <c r="D119" s="1">
        <v>46075</v>
      </c>
      <c r="E119" s="1"/>
      <c r="F119">
        <v>0</v>
      </c>
    </row>
    <row r="120" spans="1:6" x14ac:dyDescent="0.3">
      <c r="A120">
        <v>332</v>
      </c>
      <c r="B120" t="s">
        <v>19</v>
      </c>
      <c r="C120" t="s">
        <v>24</v>
      </c>
      <c r="D120" s="1">
        <v>46075</v>
      </c>
      <c r="E120" s="1"/>
      <c r="F120">
        <v>1.5</v>
      </c>
    </row>
    <row r="121" spans="1:6" x14ac:dyDescent="0.3">
      <c r="A121">
        <v>333</v>
      </c>
      <c r="B121" t="s">
        <v>19</v>
      </c>
      <c r="C121" t="s">
        <v>23</v>
      </c>
      <c r="D121" s="1">
        <v>46075</v>
      </c>
      <c r="E121" s="1"/>
      <c r="F121">
        <v>0</v>
      </c>
    </row>
    <row r="122" spans="1:6" x14ac:dyDescent="0.3">
      <c r="A122">
        <v>334</v>
      </c>
      <c r="B122" t="s">
        <v>19</v>
      </c>
      <c r="C122" t="s">
        <v>21</v>
      </c>
      <c r="D122" s="1">
        <v>46075</v>
      </c>
      <c r="E122" s="1"/>
      <c r="F122">
        <v>1.5</v>
      </c>
    </row>
    <row r="123" spans="1:6" x14ac:dyDescent="0.3">
      <c r="A123">
        <v>335</v>
      </c>
      <c r="B123" t="s">
        <v>19</v>
      </c>
      <c r="C123" t="s">
        <v>21</v>
      </c>
      <c r="D123" s="1">
        <v>46075</v>
      </c>
      <c r="E123" s="1"/>
      <c r="F123">
        <v>1.5</v>
      </c>
    </row>
    <row r="124" spans="1:6" x14ac:dyDescent="0.3">
      <c r="A124">
        <v>336</v>
      </c>
      <c r="B124" t="s">
        <v>19</v>
      </c>
      <c r="C124" t="s">
        <v>21</v>
      </c>
      <c r="D124" s="1">
        <v>46075</v>
      </c>
      <c r="E124" s="1"/>
      <c r="F124">
        <v>1.5</v>
      </c>
    </row>
    <row r="125" spans="1:6" x14ac:dyDescent="0.3">
      <c r="A125">
        <v>338</v>
      </c>
      <c r="B125" t="s">
        <v>19</v>
      </c>
      <c r="C125" t="s">
        <v>21</v>
      </c>
      <c r="D125" s="1">
        <v>46075</v>
      </c>
      <c r="E125" s="1"/>
      <c r="F125">
        <v>1.5</v>
      </c>
    </row>
    <row r="126" spans="1:6" x14ac:dyDescent="0.3">
      <c r="A126">
        <v>339</v>
      </c>
      <c r="B126" t="s">
        <v>19</v>
      </c>
      <c r="C126" t="s">
        <v>24</v>
      </c>
      <c r="D126" s="1">
        <v>46075</v>
      </c>
      <c r="E126" s="1"/>
      <c r="F126">
        <v>1.5</v>
      </c>
    </row>
    <row r="127" spans="1:6" x14ac:dyDescent="0.3">
      <c r="A127">
        <v>341</v>
      </c>
      <c r="B127" t="s">
        <v>19</v>
      </c>
      <c r="C127" t="s">
        <v>21</v>
      </c>
      <c r="D127" s="1">
        <v>46075</v>
      </c>
      <c r="E127" s="1"/>
      <c r="F127">
        <v>1.5</v>
      </c>
    </row>
    <row r="128" spans="1:6" x14ac:dyDescent="0.3">
      <c r="A128">
        <v>342</v>
      </c>
      <c r="B128" t="s">
        <v>19</v>
      </c>
      <c r="C128" t="s">
        <v>23</v>
      </c>
      <c r="D128" s="1">
        <v>46075</v>
      </c>
      <c r="E128" s="1"/>
      <c r="F128">
        <v>0</v>
      </c>
    </row>
    <row r="129" spans="1:6" x14ac:dyDescent="0.3">
      <c r="A129">
        <v>343</v>
      </c>
      <c r="B129" t="s">
        <v>19</v>
      </c>
      <c r="C129" t="s">
        <v>24</v>
      </c>
      <c r="D129" s="1">
        <v>46075</v>
      </c>
      <c r="E129" s="1"/>
      <c r="F129">
        <v>1.5</v>
      </c>
    </row>
    <row r="130" spans="1:6" x14ac:dyDescent="0.3">
      <c r="A130">
        <v>345</v>
      </c>
      <c r="B130" t="s">
        <v>19</v>
      </c>
      <c r="C130" t="s">
        <v>23</v>
      </c>
      <c r="D130" s="1">
        <v>46075</v>
      </c>
      <c r="E130" s="1"/>
      <c r="F130">
        <v>0</v>
      </c>
    </row>
    <row r="131" spans="1:6" x14ac:dyDescent="0.3">
      <c r="A131">
        <v>346</v>
      </c>
      <c r="B131" t="s">
        <v>19</v>
      </c>
      <c r="C131" t="s">
        <v>21</v>
      </c>
      <c r="D131" s="1">
        <v>46075</v>
      </c>
      <c r="E131" s="1"/>
      <c r="F131">
        <v>1.5</v>
      </c>
    </row>
    <row r="132" spans="1:6" x14ac:dyDescent="0.3">
      <c r="A132">
        <v>347</v>
      </c>
      <c r="B132" t="s">
        <v>19</v>
      </c>
      <c r="C132" t="s">
        <v>23</v>
      </c>
      <c r="D132" s="1">
        <v>46075</v>
      </c>
      <c r="E132" s="1"/>
      <c r="F132">
        <v>0</v>
      </c>
    </row>
    <row r="133" spans="1:6" x14ac:dyDescent="0.3">
      <c r="A133">
        <v>348</v>
      </c>
      <c r="B133" t="s">
        <v>19</v>
      </c>
      <c r="C133" t="s">
        <v>24</v>
      </c>
      <c r="D133" s="1">
        <v>46075</v>
      </c>
      <c r="E133" s="1">
        <v>46136</v>
      </c>
      <c r="F133">
        <v>1.5</v>
      </c>
    </row>
    <row r="134" spans="1:6" x14ac:dyDescent="0.3">
      <c r="A134">
        <v>349</v>
      </c>
      <c r="B134" t="s">
        <v>19</v>
      </c>
      <c r="C134" t="s">
        <v>21</v>
      </c>
      <c r="D134" s="1">
        <v>46075</v>
      </c>
      <c r="E134" s="1"/>
      <c r="F134">
        <v>1.5</v>
      </c>
    </row>
    <row r="135" spans="1:6" x14ac:dyDescent="0.3">
      <c r="A135">
        <v>356</v>
      </c>
      <c r="B135" t="s">
        <v>19</v>
      </c>
      <c r="C135" t="s">
        <v>28</v>
      </c>
      <c r="D135" s="1">
        <v>46208</v>
      </c>
      <c r="E135" s="1">
        <v>46208</v>
      </c>
      <c r="F135">
        <v>1.5</v>
      </c>
    </row>
    <row r="136" spans="1:6" x14ac:dyDescent="0.3">
      <c r="A136">
        <v>357</v>
      </c>
      <c r="B136" t="s">
        <v>19</v>
      </c>
      <c r="C136" t="s">
        <v>27</v>
      </c>
      <c r="D136" s="1">
        <v>46216</v>
      </c>
      <c r="E136" s="1"/>
      <c r="F136">
        <v>1.5</v>
      </c>
    </row>
    <row r="137" spans="1:6" x14ac:dyDescent="0.3">
      <c r="A137">
        <v>359</v>
      </c>
      <c r="B137" t="s">
        <v>19</v>
      </c>
      <c r="C137" t="s">
        <v>28</v>
      </c>
      <c r="D137" s="1">
        <v>46216</v>
      </c>
      <c r="E137" s="1"/>
      <c r="F137">
        <v>1.5</v>
      </c>
    </row>
    <row r="138" spans="1:6" x14ac:dyDescent="0.3">
      <c r="A138">
        <v>360</v>
      </c>
      <c r="B138" t="s">
        <v>19</v>
      </c>
      <c r="C138" t="s">
        <v>24</v>
      </c>
      <c r="D138" s="1">
        <v>46075</v>
      </c>
      <c r="E138" s="1">
        <v>46154</v>
      </c>
      <c r="F138">
        <v>1.5</v>
      </c>
    </row>
    <row r="139" spans="1:6" x14ac:dyDescent="0.3">
      <c r="A139">
        <v>365</v>
      </c>
      <c r="B139" t="s">
        <v>19</v>
      </c>
      <c r="C139" t="s">
        <v>28</v>
      </c>
      <c r="D139" s="1">
        <v>46216</v>
      </c>
      <c r="E139" s="1"/>
      <c r="F139">
        <v>1.5</v>
      </c>
    </row>
    <row r="140" spans="1:6" x14ac:dyDescent="0.3">
      <c r="A140">
        <v>369</v>
      </c>
      <c r="B140" t="s">
        <v>19</v>
      </c>
      <c r="C140" t="s">
        <v>20</v>
      </c>
      <c r="D140" s="1">
        <v>46216</v>
      </c>
      <c r="E140" s="1"/>
      <c r="F140">
        <v>3</v>
      </c>
    </row>
    <row r="141" spans="1:6" x14ac:dyDescent="0.3">
      <c r="A141">
        <v>370</v>
      </c>
      <c r="B141" t="s">
        <v>19</v>
      </c>
      <c r="C141" t="s">
        <v>20</v>
      </c>
      <c r="D141" s="1">
        <v>46228</v>
      </c>
      <c r="E141" s="1">
        <v>46228</v>
      </c>
      <c r="F141">
        <v>3</v>
      </c>
    </row>
    <row r="142" spans="1:6" x14ac:dyDescent="0.3">
      <c r="A142">
        <v>375</v>
      </c>
      <c r="B142" t="s">
        <v>19</v>
      </c>
      <c r="C142" t="s">
        <v>27</v>
      </c>
      <c r="D142" s="1">
        <v>46216</v>
      </c>
      <c r="E142" s="1"/>
      <c r="F142">
        <v>1.5</v>
      </c>
    </row>
    <row r="143" spans="1:6" x14ac:dyDescent="0.3">
      <c r="A143">
        <v>377</v>
      </c>
      <c r="B143" t="s">
        <v>19</v>
      </c>
      <c r="C143" t="s">
        <v>18</v>
      </c>
      <c r="D143" s="1">
        <v>46216</v>
      </c>
      <c r="E143" s="1"/>
      <c r="F143">
        <v>3</v>
      </c>
    </row>
    <row r="144" spans="1:6" x14ac:dyDescent="0.3">
      <c r="A144">
        <v>378</v>
      </c>
      <c r="B144" t="s">
        <v>19</v>
      </c>
      <c r="C144" t="s">
        <v>27</v>
      </c>
      <c r="D144" s="1">
        <v>46216</v>
      </c>
      <c r="E144" s="1"/>
      <c r="F144">
        <v>1.5</v>
      </c>
    </row>
    <row r="145" spans="1:6" x14ac:dyDescent="0.3">
      <c r="A145">
        <v>383</v>
      </c>
      <c r="B145" t="s">
        <v>19</v>
      </c>
      <c r="C145" t="s">
        <v>21</v>
      </c>
      <c r="D145" s="1">
        <v>46075</v>
      </c>
      <c r="E145" s="1"/>
      <c r="F145">
        <v>1.5</v>
      </c>
    </row>
    <row r="146" spans="1:6" x14ac:dyDescent="0.3">
      <c r="A146">
        <v>385</v>
      </c>
      <c r="B146" t="s">
        <v>19</v>
      </c>
      <c r="C146" t="s">
        <v>28</v>
      </c>
      <c r="D146" s="1">
        <v>46216</v>
      </c>
      <c r="E146" s="1"/>
      <c r="F146">
        <v>1.5</v>
      </c>
    </row>
    <row r="147" spans="1:6" x14ac:dyDescent="0.3">
      <c r="A147">
        <v>386</v>
      </c>
      <c r="B147" t="s">
        <v>19</v>
      </c>
      <c r="C147" t="s">
        <v>28</v>
      </c>
      <c r="D147" s="1">
        <v>46216</v>
      </c>
      <c r="E147" s="1"/>
      <c r="F147">
        <v>1.5</v>
      </c>
    </row>
    <row r="148" spans="1:6" x14ac:dyDescent="0.3">
      <c r="A148">
        <v>395</v>
      </c>
      <c r="B148" t="s">
        <v>19</v>
      </c>
      <c r="C148" t="s">
        <v>28</v>
      </c>
      <c r="D148" s="1">
        <v>46216</v>
      </c>
      <c r="E148" s="1"/>
      <c r="F148">
        <v>1.5</v>
      </c>
    </row>
    <row r="149" spans="1:6" x14ac:dyDescent="0.3">
      <c r="A149">
        <v>399</v>
      </c>
      <c r="B149" t="s">
        <v>19</v>
      </c>
      <c r="C149" t="s">
        <v>28</v>
      </c>
      <c r="D149" s="1">
        <v>46216</v>
      </c>
      <c r="E149" s="1"/>
      <c r="F149">
        <v>1.5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400CC-7FC1-41C2-BE01-97EA3CE7B56B}">
  <sheetPr>
    <tabColor rgb="FFFF0000"/>
  </sheetPr>
  <dimension ref="A1:D157"/>
  <sheetViews>
    <sheetView workbookViewId="0">
      <selection activeCell="B152" sqref="A1:D157"/>
    </sheetView>
  </sheetViews>
  <sheetFormatPr defaultRowHeight="14.4" x14ac:dyDescent="0.3"/>
  <cols>
    <col min="1" max="1" width="9.109375" bestFit="1" customWidth="1"/>
    <col min="2" max="2" width="14" bestFit="1" customWidth="1"/>
    <col min="3" max="3" width="13.109375" bestFit="1" customWidth="1"/>
    <col min="4" max="4" width="23.88671875" bestFit="1" customWidth="1"/>
  </cols>
  <sheetData>
    <row r="1" spans="1:4" x14ac:dyDescent="0.3">
      <c r="A1" t="s">
        <v>1</v>
      </c>
      <c r="B1" t="s">
        <v>15</v>
      </c>
      <c r="C1" t="s">
        <v>16</v>
      </c>
      <c r="D1" t="s">
        <v>17</v>
      </c>
    </row>
    <row r="2" spans="1:4" hidden="1" x14ac:dyDescent="0.3">
      <c r="A2">
        <v>1</v>
      </c>
      <c r="B2" t="s">
        <v>18</v>
      </c>
      <c r="C2" t="s">
        <v>19</v>
      </c>
      <c r="D2">
        <v>0</v>
      </c>
    </row>
    <row r="3" spans="1:4" hidden="1" x14ac:dyDescent="0.3">
      <c r="A3">
        <v>2</v>
      </c>
      <c r="B3" t="s">
        <v>18</v>
      </c>
      <c r="C3" t="s">
        <v>19</v>
      </c>
      <c r="D3">
        <v>0</v>
      </c>
    </row>
    <row r="4" spans="1:4" hidden="1" x14ac:dyDescent="0.3">
      <c r="A4">
        <v>3</v>
      </c>
      <c r="B4" t="s">
        <v>18</v>
      </c>
      <c r="C4" t="s">
        <v>19</v>
      </c>
      <c r="D4">
        <v>0</v>
      </c>
    </row>
    <row r="5" spans="1:4" hidden="1" x14ac:dyDescent="0.3">
      <c r="A5">
        <v>4</v>
      </c>
      <c r="B5" t="s">
        <v>20</v>
      </c>
      <c r="C5" t="s">
        <v>19</v>
      </c>
      <c r="D5">
        <v>0</v>
      </c>
    </row>
    <row r="6" spans="1:4" hidden="1" x14ac:dyDescent="0.3">
      <c r="A6">
        <v>5</v>
      </c>
      <c r="B6" t="s">
        <v>21</v>
      </c>
      <c r="C6" t="s">
        <v>22</v>
      </c>
      <c r="D6">
        <v>0</v>
      </c>
    </row>
    <row r="7" spans="1:4" hidden="1" x14ac:dyDescent="0.3">
      <c r="A7">
        <v>6</v>
      </c>
      <c r="B7" t="s">
        <v>18</v>
      </c>
      <c r="C7" t="s">
        <v>19</v>
      </c>
      <c r="D7">
        <v>0</v>
      </c>
    </row>
    <row r="8" spans="1:4" hidden="1" x14ac:dyDescent="0.3">
      <c r="A8">
        <v>8</v>
      </c>
      <c r="B8" t="s">
        <v>20</v>
      </c>
      <c r="C8" t="s">
        <v>19</v>
      </c>
      <c r="D8">
        <v>0</v>
      </c>
    </row>
    <row r="9" spans="1:4" hidden="1" x14ac:dyDescent="0.3">
      <c r="A9">
        <v>9</v>
      </c>
      <c r="B9" t="s">
        <v>18</v>
      </c>
      <c r="C9" t="s">
        <v>19</v>
      </c>
      <c r="D9">
        <v>0</v>
      </c>
    </row>
    <row r="10" spans="1:4" hidden="1" x14ac:dyDescent="0.3">
      <c r="A10">
        <v>10</v>
      </c>
      <c r="B10" t="s">
        <v>18</v>
      </c>
      <c r="C10" t="s">
        <v>19</v>
      </c>
      <c r="D10">
        <v>0</v>
      </c>
    </row>
    <row r="11" spans="1:4" hidden="1" x14ac:dyDescent="0.3">
      <c r="A11">
        <v>11</v>
      </c>
      <c r="B11" t="s">
        <v>20</v>
      </c>
      <c r="C11" t="s">
        <v>19</v>
      </c>
      <c r="D11">
        <v>0</v>
      </c>
    </row>
    <row r="12" spans="1:4" hidden="1" x14ac:dyDescent="0.3">
      <c r="A12">
        <v>12</v>
      </c>
      <c r="B12" t="s">
        <v>18</v>
      </c>
      <c r="C12" t="s">
        <v>19</v>
      </c>
      <c r="D12">
        <v>0</v>
      </c>
    </row>
    <row r="13" spans="1:4" hidden="1" x14ac:dyDescent="0.3">
      <c r="A13">
        <v>14</v>
      </c>
      <c r="B13" t="s">
        <v>23</v>
      </c>
      <c r="C13" t="s">
        <v>19</v>
      </c>
      <c r="D13">
        <v>0</v>
      </c>
    </row>
    <row r="14" spans="1:4" hidden="1" x14ac:dyDescent="0.3">
      <c r="A14">
        <v>15</v>
      </c>
      <c r="B14" t="s">
        <v>18</v>
      </c>
      <c r="C14" t="s">
        <v>19</v>
      </c>
      <c r="D14">
        <v>0</v>
      </c>
    </row>
    <row r="15" spans="1:4" hidden="1" x14ac:dyDescent="0.3">
      <c r="A15">
        <v>16</v>
      </c>
      <c r="B15" t="s">
        <v>20</v>
      </c>
      <c r="C15" t="s">
        <v>19</v>
      </c>
      <c r="D15">
        <v>0</v>
      </c>
    </row>
    <row r="16" spans="1:4" hidden="1" x14ac:dyDescent="0.3">
      <c r="A16">
        <v>18</v>
      </c>
      <c r="B16" t="s">
        <v>18</v>
      </c>
      <c r="C16" t="s">
        <v>19</v>
      </c>
      <c r="D16">
        <v>0</v>
      </c>
    </row>
    <row r="17" spans="1:4" hidden="1" x14ac:dyDescent="0.3">
      <c r="A17">
        <v>20</v>
      </c>
      <c r="B17" t="s">
        <v>20</v>
      </c>
      <c r="C17" t="s">
        <v>19</v>
      </c>
      <c r="D17">
        <v>0</v>
      </c>
    </row>
    <row r="18" spans="1:4" hidden="1" x14ac:dyDescent="0.3">
      <c r="A18">
        <v>42</v>
      </c>
      <c r="B18" t="s">
        <v>24</v>
      </c>
      <c r="C18" t="s">
        <v>19</v>
      </c>
      <c r="D18">
        <v>0</v>
      </c>
    </row>
    <row r="19" spans="1:4" hidden="1" x14ac:dyDescent="0.3">
      <c r="A19">
        <v>44</v>
      </c>
      <c r="B19" t="s">
        <v>21</v>
      </c>
      <c r="C19" t="s">
        <v>22</v>
      </c>
      <c r="D19">
        <v>0</v>
      </c>
    </row>
    <row r="20" spans="1:4" hidden="1" x14ac:dyDescent="0.3">
      <c r="A20">
        <v>45</v>
      </c>
      <c r="B20" t="s">
        <v>20</v>
      </c>
      <c r="C20" t="s">
        <v>19</v>
      </c>
      <c r="D20">
        <v>0</v>
      </c>
    </row>
    <row r="21" spans="1:4" hidden="1" x14ac:dyDescent="0.3">
      <c r="A21">
        <v>51</v>
      </c>
      <c r="B21" t="s">
        <v>25</v>
      </c>
      <c r="C21" t="s">
        <v>19</v>
      </c>
      <c r="D21">
        <v>0</v>
      </c>
    </row>
    <row r="22" spans="1:4" hidden="1" x14ac:dyDescent="0.3">
      <c r="A22">
        <v>53</v>
      </c>
      <c r="B22" t="s">
        <v>24</v>
      </c>
      <c r="C22" t="s">
        <v>19</v>
      </c>
      <c r="D22">
        <v>0</v>
      </c>
    </row>
    <row r="23" spans="1:4" hidden="1" x14ac:dyDescent="0.3">
      <c r="A23">
        <v>54</v>
      </c>
      <c r="B23" t="s">
        <v>21</v>
      </c>
      <c r="C23" t="s">
        <v>19</v>
      </c>
      <c r="D23">
        <v>0</v>
      </c>
    </row>
    <row r="24" spans="1:4" hidden="1" x14ac:dyDescent="0.3">
      <c r="A24">
        <v>56</v>
      </c>
      <c r="B24" t="s">
        <v>24</v>
      </c>
      <c r="C24" t="s">
        <v>19</v>
      </c>
      <c r="D24">
        <v>0</v>
      </c>
    </row>
    <row r="25" spans="1:4" hidden="1" x14ac:dyDescent="0.3">
      <c r="A25">
        <v>57</v>
      </c>
      <c r="B25" t="s">
        <v>21</v>
      </c>
      <c r="C25" t="s">
        <v>19</v>
      </c>
      <c r="D25">
        <v>0</v>
      </c>
    </row>
    <row r="26" spans="1:4" hidden="1" x14ac:dyDescent="0.3">
      <c r="A26">
        <v>58</v>
      </c>
      <c r="B26" t="s">
        <v>21</v>
      </c>
      <c r="C26" t="s">
        <v>19</v>
      </c>
      <c r="D26">
        <v>0</v>
      </c>
    </row>
    <row r="27" spans="1:4" hidden="1" x14ac:dyDescent="0.3">
      <c r="A27">
        <v>60</v>
      </c>
      <c r="B27" t="s">
        <v>18</v>
      </c>
      <c r="C27" t="s">
        <v>19</v>
      </c>
      <c r="D27">
        <v>0</v>
      </c>
    </row>
    <row r="28" spans="1:4" hidden="1" x14ac:dyDescent="0.3">
      <c r="A28">
        <v>61</v>
      </c>
      <c r="B28" t="s">
        <v>21</v>
      </c>
      <c r="C28" t="s">
        <v>19</v>
      </c>
      <c r="D28">
        <v>0</v>
      </c>
    </row>
    <row r="29" spans="1:4" hidden="1" x14ac:dyDescent="0.3">
      <c r="A29">
        <v>62</v>
      </c>
      <c r="B29" t="s">
        <v>18</v>
      </c>
      <c r="C29" t="s">
        <v>19</v>
      </c>
      <c r="D29">
        <v>0</v>
      </c>
    </row>
    <row r="30" spans="1:4" hidden="1" x14ac:dyDescent="0.3">
      <c r="A30">
        <v>64</v>
      </c>
      <c r="B30" t="s">
        <v>24</v>
      </c>
      <c r="C30" t="s">
        <v>19</v>
      </c>
      <c r="D30">
        <v>0</v>
      </c>
    </row>
    <row r="31" spans="1:4" hidden="1" x14ac:dyDescent="0.3">
      <c r="A31">
        <v>69</v>
      </c>
      <c r="B31" t="s">
        <v>18</v>
      </c>
      <c r="C31" t="s">
        <v>19</v>
      </c>
      <c r="D31">
        <v>0</v>
      </c>
    </row>
    <row r="32" spans="1:4" hidden="1" x14ac:dyDescent="0.3">
      <c r="A32">
        <v>70</v>
      </c>
      <c r="B32" t="s">
        <v>21</v>
      </c>
      <c r="C32" t="s">
        <v>19</v>
      </c>
      <c r="D32">
        <v>0</v>
      </c>
    </row>
    <row r="33" spans="1:4" hidden="1" x14ac:dyDescent="0.3">
      <c r="A33">
        <v>71</v>
      </c>
      <c r="B33" t="s">
        <v>18</v>
      </c>
      <c r="C33" t="s">
        <v>19</v>
      </c>
      <c r="D33">
        <v>0</v>
      </c>
    </row>
    <row r="34" spans="1:4" hidden="1" x14ac:dyDescent="0.3">
      <c r="A34">
        <v>74</v>
      </c>
      <c r="B34" t="s">
        <v>18</v>
      </c>
      <c r="C34" t="s">
        <v>19</v>
      </c>
      <c r="D34">
        <v>0</v>
      </c>
    </row>
    <row r="35" spans="1:4" hidden="1" x14ac:dyDescent="0.3">
      <c r="A35">
        <v>75</v>
      </c>
      <c r="B35" t="s">
        <v>21</v>
      </c>
      <c r="C35" t="s">
        <v>22</v>
      </c>
      <c r="D35">
        <v>0</v>
      </c>
    </row>
    <row r="36" spans="1:4" hidden="1" x14ac:dyDescent="0.3">
      <c r="A36">
        <v>77</v>
      </c>
      <c r="B36" t="s">
        <v>18</v>
      </c>
      <c r="C36" t="s">
        <v>19</v>
      </c>
      <c r="D36">
        <v>0</v>
      </c>
    </row>
    <row r="37" spans="1:4" hidden="1" x14ac:dyDescent="0.3">
      <c r="A37">
        <v>78</v>
      </c>
      <c r="B37" t="s">
        <v>18</v>
      </c>
      <c r="C37" t="s">
        <v>19</v>
      </c>
      <c r="D37">
        <v>0</v>
      </c>
    </row>
    <row r="38" spans="1:4" hidden="1" x14ac:dyDescent="0.3">
      <c r="A38">
        <v>79</v>
      </c>
      <c r="B38" t="s">
        <v>21</v>
      </c>
      <c r="C38" t="s">
        <v>19</v>
      </c>
      <c r="D38">
        <v>0</v>
      </c>
    </row>
    <row r="39" spans="1:4" hidden="1" x14ac:dyDescent="0.3">
      <c r="A39">
        <v>80</v>
      </c>
      <c r="B39" t="s">
        <v>21</v>
      </c>
      <c r="C39" t="s">
        <v>19</v>
      </c>
      <c r="D39">
        <v>0</v>
      </c>
    </row>
    <row r="40" spans="1:4" hidden="1" x14ac:dyDescent="0.3">
      <c r="A40">
        <v>84</v>
      </c>
      <c r="B40" t="s">
        <v>21</v>
      </c>
      <c r="C40" t="s">
        <v>19</v>
      </c>
      <c r="D40">
        <v>0</v>
      </c>
    </row>
    <row r="41" spans="1:4" hidden="1" x14ac:dyDescent="0.3">
      <c r="A41">
        <v>85</v>
      </c>
      <c r="B41" t="s">
        <v>21</v>
      </c>
      <c r="C41" t="s">
        <v>19</v>
      </c>
      <c r="D41">
        <v>0</v>
      </c>
    </row>
    <row r="42" spans="1:4" hidden="1" x14ac:dyDescent="0.3">
      <c r="A42">
        <v>86</v>
      </c>
      <c r="B42" t="s">
        <v>20</v>
      </c>
      <c r="C42" t="s">
        <v>19</v>
      </c>
      <c r="D42">
        <v>0</v>
      </c>
    </row>
    <row r="43" spans="1:4" hidden="1" x14ac:dyDescent="0.3">
      <c r="A43">
        <v>87</v>
      </c>
      <c r="B43" t="s">
        <v>18</v>
      </c>
      <c r="C43" t="s">
        <v>19</v>
      </c>
      <c r="D43">
        <v>0</v>
      </c>
    </row>
    <row r="44" spans="1:4" hidden="1" x14ac:dyDescent="0.3">
      <c r="A44">
        <v>89</v>
      </c>
      <c r="B44" t="s">
        <v>20</v>
      </c>
      <c r="C44" t="s">
        <v>19</v>
      </c>
      <c r="D44">
        <v>0</v>
      </c>
    </row>
    <row r="45" spans="1:4" hidden="1" x14ac:dyDescent="0.3">
      <c r="A45">
        <v>90</v>
      </c>
      <c r="B45" t="s">
        <v>20</v>
      </c>
      <c r="C45" t="s">
        <v>19</v>
      </c>
      <c r="D45">
        <v>0</v>
      </c>
    </row>
    <row r="46" spans="1:4" hidden="1" x14ac:dyDescent="0.3">
      <c r="A46">
        <v>92</v>
      </c>
      <c r="B46" t="s">
        <v>20</v>
      </c>
      <c r="C46" t="s">
        <v>19</v>
      </c>
      <c r="D46">
        <v>0</v>
      </c>
    </row>
    <row r="47" spans="1:4" hidden="1" x14ac:dyDescent="0.3">
      <c r="A47">
        <v>93</v>
      </c>
      <c r="B47" t="s">
        <v>25</v>
      </c>
      <c r="C47" t="s">
        <v>26</v>
      </c>
      <c r="D47">
        <v>0</v>
      </c>
    </row>
    <row r="48" spans="1:4" hidden="1" x14ac:dyDescent="0.3">
      <c r="A48">
        <v>96</v>
      </c>
      <c r="B48" t="s">
        <v>25</v>
      </c>
      <c r="C48" t="s">
        <v>19</v>
      </c>
      <c r="D48">
        <v>0</v>
      </c>
    </row>
    <row r="49" spans="1:4" hidden="1" x14ac:dyDescent="0.3">
      <c r="A49">
        <v>100</v>
      </c>
      <c r="B49" t="s">
        <v>20</v>
      </c>
      <c r="C49" t="s">
        <v>19</v>
      </c>
      <c r="D49">
        <v>0</v>
      </c>
    </row>
    <row r="50" spans="1:4" hidden="1" x14ac:dyDescent="0.3">
      <c r="A50">
        <v>103</v>
      </c>
      <c r="B50" t="s">
        <v>20</v>
      </c>
      <c r="C50" t="s">
        <v>19</v>
      </c>
      <c r="D50">
        <v>0</v>
      </c>
    </row>
    <row r="51" spans="1:4" hidden="1" x14ac:dyDescent="0.3">
      <c r="A51">
        <v>105</v>
      </c>
      <c r="B51" t="s">
        <v>18</v>
      </c>
      <c r="C51" t="s">
        <v>19</v>
      </c>
      <c r="D51">
        <v>0</v>
      </c>
    </row>
    <row r="52" spans="1:4" hidden="1" x14ac:dyDescent="0.3">
      <c r="A52">
        <v>106</v>
      </c>
      <c r="B52" t="s">
        <v>18</v>
      </c>
      <c r="C52" t="s">
        <v>19</v>
      </c>
      <c r="D52">
        <v>0</v>
      </c>
    </row>
    <row r="53" spans="1:4" hidden="1" x14ac:dyDescent="0.3">
      <c r="A53">
        <v>107</v>
      </c>
      <c r="B53" t="s">
        <v>18</v>
      </c>
      <c r="C53" t="s">
        <v>19</v>
      </c>
      <c r="D53">
        <v>0</v>
      </c>
    </row>
    <row r="54" spans="1:4" hidden="1" x14ac:dyDescent="0.3">
      <c r="A54">
        <v>108</v>
      </c>
      <c r="B54" t="s">
        <v>27</v>
      </c>
      <c r="C54" t="s">
        <v>19</v>
      </c>
      <c r="D54">
        <v>0</v>
      </c>
    </row>
    <row r="55" spans="1:4" hidden="1" x14ac:dyDescent="0.3">
      <c r="A55">
        <v>109</v>
      </c>
      <c r="B55" t="s">
        <v>20</v>
      </c>
      <c r="C55" t="s">
        <v>19</v>
      </c>
      <c r="D55">
        <v>0</v>
      </c>
    </row>
    <row r="56" spans="1:4" hidden="1" x14ac:dyDescent="0.3">
      <c r="A56">
        <v>110</v>
      </c>
      <c r="B56" t="s">
        <v>18</v>
      </c>
      <c r="C56" t="s">
        <v>19</v>
      </c>
      <c r="D56">
        <v>0</v>
      </c>
    </row>
    <row r="57" spans="1:4" hidden="1" x14ac:dyDescent="0.3">
      <c r="A57">
        <v>111</v>
      </c>
      <c r="B57" t="s">
        <v>18</v>
      </c>
      <c r="C57" t="s">
        <v>19</v>
      </c>
      <c r="D57">
        <v>0</v>
      </c>
    </row>
    <row r="58" spans="1:4" hidden="1" x14ac:dyDescent="0.3">
      <c r="A58">
        <v>112</v>
      </c>
      <c r="B58" t="s">
        <v>18</v>
      </c>
      <c r="C58" t="s">
        <v>19</v>
      </c>
      <c r="D58">
        <v>0</v>
      </c>
    </row>
    <row r="59" spans="1:4" hidden="1" x14ac:dyDescent="0.3">
      <c r="A59">
        <v>115</v>
      </c>
      <c r="B59" t="s">
        <v>18</v>
      </c>
      <c r="C59" t="s">
        <v>19</v>
      </c>
      <c r="D59">
        <v>0</v>
      </c>
    </row>
    <row r="60" spans="1:4" hidden="1" x14ac:dyDescent="0.3">
      <c r="A60">
        <v>119</v>
      </c>
      <c r="B60" t="s">
        <v>18</v>
      </c>
      <c r="C60" t="s">
        <v>19</v>
      </c>
      <c r="D60">
        <v>0</v>
      </c>
    </row>
    <row r="61" spans="1:4" hidden="1" x14ac:dyDescent="0.3">
      <c r="A61">
        <v>120</v>
      </c>
      <c r="B61" t="s">
        <v>21</v>
      </c>
      <c r="C61" t="s">
        <v>19</v>
      </c>
      <c r="D61">
        <v>0</v>
      </c>
    </row>
    <row r="62" spans="1:4" hidden="1" x14ac:dyDescent="0.3">
      <c r="A62">
        <v>121</v>
      </c>
      <c r="B62" t="s">
        <v>20</v>
      </c>
      <c r="C62" t="s">
        <v>19</v>
      </c>
      <c r="D62">
        <v>0</v>
      </c>
    </row>
    <row r="63" spans="1:4" hidden="1" x14ac:dyDescent="0.3">
      <c r="A63">
        <v>125</v>
      </c>
      <c r="B63" t="s">
        <v>18</v>
      </c>
      <c r="C63" t="s">
        <v>19</v>
      </c>
      <c r="D63">
        <v>0</v>
      </c>
    </row>
    <row r="64" spans="1:4" hidden="1" x14ac:dyDescent="0.3">
      <c r="A64">
        <v>127</v>
      </c>
      <c r="B64" t="s">
        <v>20</v>
      </c>
      <c r="C64" t="s">
        <v>19</v>
      </c>
      <c r="D64">
        <v>0</v>
      </c>
    </row>
    <row r="65" spans="1:4" hidden="1" x14ac:dyDescent="0.3">
      <c r="A65">
        <v>128</v>
      </c>
      <c r="B65" t="s">
        <v>20</v>
      </c>
      <c r="C65" t="s">
        <v>19</v>
      </c>
      <c r="D65">
        <v>0</v>
      </c>
    </row>
    <row r="66" spans="1:4" hidden="1" x14ac:dyDescent="0.3">
      <c r="A66">
        <v>132</v>
      </c>
      <c r="B66" t="s">
        <v>18</v>
      </c>
      <c r="C66" t="s">
        <v>19</v>
      </c>
      <c r="D66">
        <v>0</v>
      </c>
    </row>
    <row r="67" spans="1:4" hidden="1" x14ac:dyDescent="0.3">
      <c r="A67">
        <v>134</v>
      </c>
      <c r="B67" t="s">
        <v>20</v>
      </c>
      <c r="C67" t="s">
        <v>19</v>
      </c>
      <c r="D67">
        <v>0</v>
      </c>
    </row>
    <row r="68" spans="1:4" hidden="1" x14ac:dyDescent="0.3">
      <c r="A68">
        <v>135</v>
      </c>
      <c r="B68" t="s">
        <v>20</v>
      </c>
      <c r="C68" t="s">
        <v>19</v>
      </c>
      <c r="D68">
        <v>0</v>
      </c>
    </row>
    <row r="69" spans="1:4" hidden="1" x14ac:dyDescent="0.3">
      <c r="A69">
        <v>137</v>
      </c>
      <c r="B69" t="s">
        <v>21</v>
      </c>
      <c r="C69" t="s">
        <v>19</v>
      </c>
      <c r="D69">
        <v>0</v>
      </c>
    </row>
    <row r="70" spans="1:4" hidden="1" x14ac:dyDescent="0.3">
      <c r="A70">
        <v>138</v>
      </c>
      <c r="B70" t="s">
        <v>18</v>
      </c>
      <c r="C70" t="s">
        <v>19</v>
      </c>
      <c r="D70">
        <v>0</v>
      </c>
    </row>
    <row r="71" spans="1:4" hidden="1" x14ac:dyDescent="0.3">
      <c r="A71">
        <v>140</v>
      </c>
      <c r="B71" t="s">
        <v>20</v>
      </c>
      <c r="C71" t="s">
        <v>19</v>
      </c>
      <c r="D71">
        <v>0</v>
      </c>
    </row>
    <row r="72" spans="1:4" hidden="1" x14ac:dyDescent="0.3">
      <c r="A72">
        <v>141</v>
      </c>
      <c r="B72" t="s">
        <v>18</v>
      </c>
      <c r="C72" t="s">
        <v>19</v>
      </c>
      <c r="D72">
        <v>0</v>
      </c>
    </row>
    <row r="73" spans="1:4" hidden="1" x14ac:dyDescent="0.3">
      <c r="A73">
        <v>143</v>
      </c>
      <c r="B73" t="s">
        <v>18</v>
      </c>
      <c r="C73" t="s">
        <v>19</v>
      </c>
      <c r="D73">
        <v>0</v>
      </c>
    </row>
    <row r="74" spans="1:4" hidden="1" x14ac:dyDescent="0.3">
      <c r="A74">
        <v>146</v>
      </c>
      <c r="B74" t="s">
        <v>20</v>
      </c>
      <c r="C74" t="s">
        <v>19</v>
      </c>
      <c r="D74">
        <v>0</v>
      </c>
    </row>
    <row r="75" spans="1:4" hidden="1" x14ac:dyDescent="0.3">
      <c r="A75">
        <v>147</v>
      </c>
      <c r="B75" t="s">
        <v>18</v>
      </c>
      <c r="C75" t="s">
        <v>19</v>
      </c>
      <c r="D75">
        <v>0</v>
      </c>
    </row>
    <row r="76" spans="1:4" hidden="1" x14ac:dyDescent="0.3">
      <c r="A76">
        <v>149</v>
      </c>
      <c r="B76" t="s">
        <v>18</v>
      </c>
      <c r="C76" t="s">
        <v>19</v>
      </c>
      <c r="D76">
        <v>0</v>
      </c>
    </row>
    <row r="77" spans="1:4" hidden="1" x14ac:dyDescent="0.3">
      <c r="A77">
        <v>151</v>
      </c>
      <c r="B77" t="s">
        <v>25</v>
      </c>
      <c r="C77" t="s">
        <v>19</v>
      </c>
      <c r="D77">
        <v>0</v>
      </c>
    </row>
    <row r="78" spans="1:4" hidden="1" x14ac:dyDescent="0.3">
      <c r="A78">
        <v>152</v>
      </c>
      <c r="B78" t="s">
        <v>18</v>
      </c>
      <c r="C78" t="s">
        <v>19</v>
      </c>
      <c r="D78">
        <v>0</v>
      </c>
    </row>
    <row r="79" spans="1:4" x14ac:dyDescent="0.3">
      <c r="A79">
        <v>155</v>
      </c>
      <c r="B79" t="s">
        <v>20</v>
      </c>
      <c r="C79" t="s">
        <v>12</v>
      </c>
      <c r="D79">
        <v>0</v>
      </c>
    </row>
    <row r="80" spans="1:4" hidden="1" x14ac:dyDescent="0.3">
      <c r="A80">
        <v>158</v>
      </c>
      <c r="B80" t="s">
        <v>18</v>
      </c>
      <c r="C80" t="s">
        <v>19</v>
      </c>
      <c r="D80">
        <v>0</v>
      </c>
    </row>
    <row r="81" spans="1:4" hidden="1" x14ac:dyDescent="0.3">
      <c r="A81">
        <v>163</v>
      </c>
      <c r="B81" t="s">
        <v>18</v>
      </c>
      <c r="C81" t="s">
        <v>19</v>
      </c>
      <c r="D81">
        <v>0</v>
      </c>
    </row>
    <row r="82" spans="1:4" hidden="1" x14ac:dyDescent="0.3">
      <c r="A82">
        <v>164</v>
      </c>
      <c r="B82" t="s">
        <v>21</v>
      </c>
      <c r="C82" t="s">
        <v>19</v>
      </c>
      <c r="D82">
        <v>0</v>
      </c>
    </row>
    <row r="83" spans="1:4" hidden="1" x14ac:dyDescent="0.3">
      <c r="A83">
        <v>165</v>
      </c>
      <c r="B83" t="s">
        <v>20</v>
      </c>
      <c r="C83" t="s">
        <v>19</v>
      </c>
      <c r="D83">
        <v>0</v>
      </c>
    </row>
    <row r="84" spans="1:4" hidden="1" x14ac:dyDescent="0.3">
      <c r="A84">
        <v>167</v>
      </c>
      <c r="B84" t="s">
        <v>20</v>
      </c>
      <c r="C84" t="s">
        <v>19</v>
      </c>
      <c r="D84">
        <v>0</v>
      </c>
    </row>
    <row r="85" spans="1:4" hidden="1" x14ac:dyDescent="0.3">
      <c r="A85">
        <v>168</v>
      </c>
      <c r="B85" t="s">
        <v>18</v>
      </c>
      <c r="C85" t="s">
        <v>19</v>
      </c>
      <c r="D85">
        <v>0</v>
      </c>
    </row>
    <row r="86" spans="1:4" hidden="1" x14ac:dyDescent="0.3">
      <c r="A86">
        <v>182</v>
      </c>
      <c r="B86" t="s">
        <v>18</v>
      </c>
      <c r="C86" t="s">
        <v>19</v>
      </c>
      <c r="D86">
        <v>0</v>
      </c>
    </row>
    <row r="87" spans="1:4" hidden="1" x14ac:dyDescent="0.3">
      <c r="A87">
        <v>183</v>
      </c>
      <c r="B87" t="s">
        <v>18</v>
      </c>
      <c r="C87" t="s">
        <v>19</v>
      </c>
      <c r="D87">
        <v>0</v>
      </c>
    </row>
    <row r="88" spans="1:4" hidden="1" x14ac:dyDescent="0.3">
      <c r="A88">
        <v>184</v>
      </c>
      <c r="B88" t="s">
        <v>18</v>
      </c>
      <c r="C88" t="s">
        <v>19</v>
      </c>
      <c r="D88">
        <v>0</v>
      </c>
    </row>
    <row r="89" spans="1:4" hidden="1" x14ac:dyDescent="0.3">
      <c r="A89">
        <v>185</v>
      </c>
      <c r="B89" t="s">
        <v>21</v>
      </c>
      <c r="C89" t="s">
        <v>19</v>
      </c>
      <c r="D89">
        <v>0</v>
      </c>
    </row>
    <row r="90" spans="1:4" hidden="1" x14ac:dyDescent="0.3">
      <c r="A90">
        <v>186</v>
      </c>
      <c r="B90" t="s">
        <v>18</v>
      </c>
      <c r="C90" t="s">
        <v>19</v>
      </c>
      <c r="D90">
        <v>0</v>
      </c>
    </row>
    <row r="91" spans="1:4" hidden="1" x14ac:dyDescent="0.3">
      <c r="A91">
        <v>187</v>
      </c>
      <c r="B91" t="s">
        <v>18</v>
      </c>
      <c r="C91" t="s">
        <v>19</v>
      </c>
      <c r="D91">
        <v>0</v>
      </c>
    </row>
    <row r="92" spans="1:4" hidden="1" x14ac:dyDescent="0.3">
      <c r="A92">
        <v>190</v>
      </c>
      <c r="B92" t="s">
        <v>18</v>
      </c>
      <c r="C92" t="s">
        <v>19</v>
      </c>
      <c r="D92">
        <v>0</v>
      </c>
    </row>
    <row r="93" spans="1:4" hidden="1" x14ac:dyDescent="0.3">
      <c r="A93">
        <v>191</v>
      </c>
      <c r="B93" t="s">
        <v>18</v>
      </c>
      <c r="C93" t="s">
        <v>19</v>
      </c>
      <c r="D93">
        <v>0</v>
      </c>
    </row>
    <row r="94" spans="1:4" hidden="1" x14ac:dyDescent="0.3">
      <c r="A94">
        <v>192</v>
      </c>
      <c r="B94" t="s">
        <v>20</v>
      </c>
      <c r="C94" t="s">
        <v>19</v>
      </c>
      <c r="D94">
        <v>0</v>
      </c>
    </row>
    <row r="95" spans="1:4" hidden="1" x14ac:dyDescent="0.3">
      <c r="A95">
        <v>193</v>
      </c>
      <c r="B95" t="s">
        <v>20</v>
      </c>
      <c r="C95" t="s">
        <v>19</v>
      </c>
      <c r="D95">
        <v>0</v>
      </c>
    </row>
    <row r="96" spans="1:4" hidden="1" x14ac:dyDescent="0.3">
      <c r="A96">
        <v>195</v>
      </c>
      <c r="B96" t="s">
        <v>21</v>
      </c>
      <c r="C96" t="s">
        <v>19</v>
      </c>
      <c r="D96">
        <v>0</v>
      </c>
    </row>
    <row r="97" spans="1:4" hidden="1" x14ac:dyDescent="0.3">
      <c r="A97">
        <v>196</v>
      </c>
      <c r="B97" t="s">
        <v>18</v>
      </c>
      <c r="C97" t="s">
        <v>19</v>
      </c>
      <c r="D97">
        <v>0</v>
      </c>
    </row>
    <row r="98" spans="1:4" hidden="1" x14ac:dyDescent="0.3">
      <c r="A98">
        <v>301</v>
      </c>
      <c r="B98" t="s">
        <v>21</v>
      </c>
      <c r="C98" t="s">
        <v>19</v>
      </c>
      <c r="D98">
        <v>0</v>
      </c>
    </row>
    <row r="99" spans="1:4" hidden="1" x14ac:dyDescent="0.3">
      <c r="A99">
        <v>302</v>
      </c>
      <c r="B99" t="s">
        <v>24</v>
      </c>
      <c r="C99" t="s">
        <v>19</v>
      </c>
      <c r="D99">
        <v>0</v>
      </c>
    </row>
    <row r="100" spans="1:4" hidden="1" x14ac:dyDescent="0.3">
      <c r="A100">
        <v>304</v>
      </c>
      <c r="B100" t="s">
        <v>24</v>
      </c>
      <c r="C100" t="s">
        <v>19</v>
      </c>
      <c r="D100">
        <v>0</v>
      </c>
    </row>
    <row r="101" spans="1:4" hidden="1" x14ac:dyDescent="0.3">
      <c r="A101">
        <v>305</v>
      </c>
      <c r="B101" t="s">
        <v>21</v>
      </c>
      <c r="C101" t="s">
        <v>19</v>
      </c>
      <c r="D101">
        <v>0</v>
      </c>
    </row>
    <row r="102" spans="1:4" hidden="1" x14ac:dyDescent="0.3">
      <c r="A102">
        <v>306</v>
      </c>
      <c r="B102" t="s">
        <v>21</v>
      </c>
      <c r="C102" t="s">
        <v>19</v>
      </c>
      <c r="D102">
        <v>0</v>
      </c>
    </row>
    <row r="103" spans="1:4" hidden="1" x14ac:dyDescent="0.3">
      <c r="A103">
        <v>307</v>
      </c>
      <c r="B103" t="s">
        <v>18</v>
      </c>
      <c r="C103" t="s">
        <v>19</v>
      </c>
      <c r="D103">
        <v>0</v>
      </c>
    </row>
    <row r="104" spans="1:4" hidden="1" x14ac:dyDescent="0.3">
      <c r="A104">
        <v>308</v>
      </c>
      <c r="B104" t="s">
        <v>21</v>
      </c>
      <c r="C104" t="s">
        <v>19</v>
      </c>
      <c r="D104">
        <v>0</v>
      </c>
    </row>
    <row r="105" spans="1:4" hidden="1" x14ac:dyDescent="0.3">
      <c r="A105">
        <v>309</v>
      </c>
      <c r="B105" t="s">
        <v>18</v>
      </c>
      <c r="C105" t="s">
        <v>19</v>
      </c>
      <c r="D105">
        <v>0</v>
      </c>
    </row>
    <row r="106" spans="1:4" hidden="1" x14ac:dyDescent="0.3">
      <c r="A106">
        <v>310</v>
      </c>
      <c r="B106" t="s">
        <v>24</v>
      </c>
      <c r="C106" t="s">
        <v>19</v>
      </c>
      <c r="D106">
        <v>0</v>
      </c>
    </row>
    <row r="107" spans="1:4" hidden="1" x14ac:dyDescent="0.3">
      <c r="A107">
        <v>311</v>
      </c>
      <c r="B107" t="s">
        <v>20</v>
      </c>
      <c r="C107" t="s">
        <v>19</v>
      </c>
      <c r="D107">
        <v>0</v>
      </c>
    </row>
    <row r="108" spans="1:4" hidden="1" x14ac:dyDescent="0.3">
      <c r="A108">
        <v>312</v>
      </c>
      <c r="B108" t="s">
        <v>18</v>
      </c>
      <c r="C108" t="s">
        <v>19</v>
      </c>
      <c r="D108">
        <v>0</v>
      </c>
    </row>
    <row r="109" spans="1:4" hidden="1" x14ac:dyDescent="0.3">
      <c r="A109">
        <v>313</v>
      </c>
      <c r="B109" t="s">
        <v>23</v>
      </c>
      <c r="C109" t="s">
        <v>19</v>
      </c>
      <c r="D109">
        <v>0</v>
      </c>
    </row>
    <row r="110" spans="1:4" hidden="1" x14ac:dyDescent="0.3">
      <c r="A110">
        <v>314</v>
      </c>
      <c r="B110" t="s">
        <v>27</v>
      </c>
      <c r="C110" t="s">
        <v>19</v>
      </c>
      <c r="D110">
        <v>0</v>
      </c>
    </row>
    <row r="111" spans="1:4" hidden="1" x14ac:dyDescent="0.3">
      <c r="A111">
        <v>315</v>
      </c>
      <c r="B111" t="s">
        <v>27</v>
      </c>
      <c r="C111" t="s">
        <v>19</v>
      </c>
      <c r="D111">
        <v>0</v>
      </c>
    </row>
    <row r="112" spans="1:4" hidden="1" x14ac:dyDescent="0.3">
      <c r="A112">
        <v>316</v>
      </c>
      <c r="B112" t="s">
        <v>28</v>
      </c>
      <c r="C112" t="s">
        <v>19</v>
      </c>
      <c r="D112">
        <v>0</v>
      </c>
    </row>
    <row r="113" spans="1:4" hidden="1" x14ac:dyDescent="0.3">
      <c r="A113">
        <v>317</v>
      </c>
      <c r="B113" t="s">
        <v>18</v>
      </c>
      <c r="C113" t="s">
        <v>19</v>
      </c>
      <c r="D113">
        <v>0</v>
      </c>
    </row>
    <row r="114" spans="1:4" hidden="1" x14ac:dyDescent="0.3">
      <c r="A114">
        <v>318</v>
      </c>
      <c r="B114" t="s">
        <v>18</v>
      </c>
      <c r="C114" t="s">
        <v>19</v>
      </c>
      <c r="D114">
        <v>0</v>
      </c>
    </row>
    <row r="115" spans="1:4" hidden="1" x14ac:dyDescent="0.3">
      <c r="A115">
        <v>319</v>
      </c>
      <c r="B115" t="s">
        <v>18</v>
      </c>
      <c r="C115" t="s">
        <v>19</v>
      </c>
      <c r="D115">
        <v>0</v>
      </c>
    </row>
    <row r="116" spans="1:4" hidden="1" x14ac:dyDescent="0.3">
      <c r="A116">
        <v>320</v>
      </c>
      <c r="B116" t="s">
        <v>20</v>
      </c>
      <c r="C116" t="s">
        <v>19</v>
      </c>
      <c r="D116">
        <v>0</v>
      </c>
    </row>
    <row r="117" spans="1:4" hidden="1" x14ac:dyDescent="0.3">
      <c r="A117">
        <v>322</v>
      </c>
      <c r="B117" t="s">
        <v>21</v>
      </c>
      <c r="C117" t="s">
        <v>19</v>
      </c>
      <c r="D117">
        <v>0</v>
      </c>
    </row>
    <row r="118" spans="1:4" hidden="1" x14ac:dyDescent="0.3">
      <c r="A118">
        <v>324</v>
      </c>
      <c r="B118" t="s">
        <v>21</v>
      </c>
      <c r="C118" t="s">
        <v>19</v>
      </c>
      <c r="D118">
        <v>0</v>
      </c>
    </row>
    <row r="119" spans="1:4" hidden="1" x14ac:dyDescent="0.3">
      <c r="A119">
        <v>325</v>
      </c>
      <c r="B119" t="s">
        <v>23</v>
      </c>
      <c r="C119" t="s">
        <v>19</v>
      </c>
      <c r="D119">
        <v>0</v>
      </c>
    </row>
    <row r="120" spans="1:4" hidden="1" x14ac:dyDescent="0.3">
      <c r="A120">
        <v>326</v>
      </c>
      <c r="B120" t="s">
        <v>23</v>
      </c>
      <c r="C120" t="s">
        <v>19</v>
      </c>
      <c r="D120">
        <v>0</v>
      </c>
    </row>
    <row r="121" spans="1:4" hidden="1" x14ac:dyDescent="0.3">
      <c r="A121">
        <v>327</v>
      </c>
      <c r="B121" t="s">
        <v>24</v>
      </c>
      <c r="C121" t="s">
        <v>19</v>
      </c>
      <c r="D121">
        <v>0</v>
      </c>
    </row>
    <row r="122" spans="1:4" hidden="1" x14ac:dyDescent="0.3">
      <c r="A122">
        <v>328</v>
      </c>
      <c r="B122" t="s">
        <v>21</v>
      </c>
      <c r="C122" t="s">
        <v>19</v>
      </c>
      <c r="D122">
        <v>0</v>
      </c>
    </row>
    <row r="123" spans="1:4" hidden="1" x14ac:dyDescent="0.3">
      <c r="A123">
        <v>330</v>
      </c>
      <c r="B123" t="s">
        <v>24</v>
      </c>
      <c r="C123" t="s">
        <v>19</v>
      </c>
      <c r="D123">
        <v>0</v>
      </c>
    </row>
    <row r="124" spans="1:4" hidden="1" x14ac:dyDescent="0.3">
      <c r="A124">
        <v>331</v>
      </c>
      <c r="B124" t="s">
        <v>23</v>
      </c>
      <c r="C124" t="s">
        <v>19</v>
      </c>
      <c r="D124">
        <v>0</v>
      </c>
    </row>
    <row r="125" spans="1:4" hidden="1" x14ac:dyDescent="0.3">
      <c r="A125">
        <v>332</v>
      </c>
      <c r="B125" t="s">
        <v>24</v>
      </c>
      <c r="C125" t="s">
        <v>19</v>
      </c>
      <c r="D125">
        <v>0</v>
      </c>
    </row>
    <row r="126" spans="1:4" hidden="1" x14ac:dyDescent="0.3">
      <c r="A126">
        <v>333</v>
      </c>
      <c r="B126" t="s">
        <v>23</v>
      </c>
      <c r="C126" t="s">
        <v>19</v>
      </c>
      <c r="D126">
        <v>0</v>
      </c>
    </row>
    <row r="127" spans="1:4" hidden="1" x14ac:dyDescent="0.3">
      <c r="A127">
        <v>334</v>
      </c>
      <c r="B127" t="s">
        <v>21</v>
      </c>
      <c r="C127" t="s">
        <v>19</v>
      </c>
      <c r="D127">
        <v>0</v>
      </c>
    </row>
    <row r="128" spans="1:4" hidden="1" x14ac:dyDescent="0.3">
      <c r="A128">
        <v>335</v>
      </c>
      <c r="B128" t="s">
        <v>21</v>
      </c>
      <c r="C128" t="s">
        <v>19</v>
      </c>
      <c r="D128">
        <v>0</v>
      </c>
    </row>
    <row r="129" spans="1:4" hidden="1" x14ac:dyDescent="0.3">
      <c r="A129">
        <v>336</v>
      </c>
      <c r="B129" t="s">
        <v>21</v>
      </c>
      <c r="C129" t="s">
        <v>19</v>
      </c>
      <c r="D129">
        <v>0</v>
      </c>
    </row>
    <row r="130" spans="1:4" hidden="1" x14ac:dyDescent="0.3">
      <c r="A130">
        <v>337</v>
      </c>
      <c r="B130" t="s">
        <v>21</v>
      </c>
      <c r="C130" t="s">
        <v>22</v>
      </c>
      <c r="D130">
        <v>0</v>
      </c>
    </row>
    <row r="131" spans="1:4" hidden="1" x14ac:dyDescent="0.3">
      <c r="A131">
        <v>338</v>
      </c>
      <c r="B131" t="s">
        <v>21</v>
      </c>
      <c r="C131" t="s">
        <v>19</v>
      </c>
      <c r="D131">
        <v>0</v>
      </c>
    </row>
    <row r="132" spans="1:4" hidden="1" x14ac:dyDescent="0.3">
      <c r="A132">
        <v>339</v>
      </c>
      <c r="B132" t="s">
        <v>24</v>
      </c>
      <c r="C132" t="s">
        <v>19</v>
      </c>
      <c r="D132">
        <v>0</v>
      </c>
    </row>
    <row r="133" spans="1:4" hidden="1" x14ac:dyDescent="0.3">
      <c r="A133">
        <v>340</v>
      </c>
      <c r="B133" t="s">
        <v>24</v>
      </c>
      <c r="C133" t="s">
        <v>22</v>
      </c>
      <c r="D133">
        <v>0</v>
      </c>
    </row>
    <row r="134" spans="1:4" hidden="1" x14ac:dyDescent="0.3">
      <c r="A134">
        <v>341</v>
      </c>
      <c r="B134" t="s">
        <v>21</v>
      </c>
      <c r="C134" t="s">
        <v>19</v>
      </c>
      <c r="D134">
        <v>0</v>
      </c>
    </row>
    <row r="135" spans="1:4" hidden="1" x14ac:dyDescent="0.3">
      <c r="A135">
        <v>342</v>
      </c>
      <c r="B135" t="s">
        <v>23</v>
      </c>
      <c r="C135" t="s">
        <v>19</v>
      </c>
      <c r="D135">
        <v>0</v>
      </c>
    </row>
    <row r="136" spans="1:4" hidden="1" x14ac:dyDescent="0.3">
      <c r="A136">
        <v>343</v>
      </c>
      <c r="B136" t="s">
        <v>24</v>
      </c>
      <c r="C136" t="s">
        <v>19</v>
      </c>
      <c r="D136">
        <v>0</v>
      </c>
    </row>
    <row r="137" spans="1:4" hidden="1" x14ac:dyDescent="0.3">
      <c r="A137">
        <v>345</v>
      </c>
      <c r="B137" t="s">
        <v>23</v>
      </c>
      <c r="C137" t="s">
        <v>19</v>
      </c>
      <c r="D137">
        <v>0</v>
      </c>
    </row>
    <row r="138" spans="1:4" hidden="1" x14ac:dyDescent="0.3">
      <c r="A138">
        <v>346</v>
      </c>
      <c r="B138" t="s">
        <v>21</v>
      </c>
      <c r="C138" t="s">
        <v>19</v>
      </c>
      <c r="D138">
        <v>0</v>
      </c>
    </row>
    <row r="139" spans="1:4" hidden="1" x14ac:dyDescent="0.3">
      <c r="A139">
        <v>347</v>
      </c>
      <c r="B139" t="s">
        <v>23</v>
      </c>
      <c r="C139" t="s">
        <v>19</v>
      </c>
      <c r="D139">
        <v>0</v>
      </c>
    </row>
    <row r="140" spans="1:4" hidden="1" x14ac:dyDescent="0.3">
      <c r="A140">
        <v>348</v>
      </c>
      <c r="B140" t="s">
        <v>24</v>
      </c>
      <c r="C140" t="s">
        <v>19</v>
      </c>
      <c r="D140">
        <v>0</v>
      </c>
    </row>
    <row r="141" spans="1:4" hidden="1" x14ac:dyDescent="0.3">
      <c r="A141">
        <v>349</v>
      </c>
      <c r="B141" t="s">
        <v>21</v>
      </c>
      <c r="C141" t="s">
        <v>19</v>
      </c>
      <c r="D141">
        <v>0</v>
      </c>
    </row>
    <row r="142" spans="1:4" hidden="1" x14ac:dyDescent="0.3">
      <c r="A142">
        <v>356</v>
      </c>
      <c r="B142" t="s">
        <v>28</v>
      </c>
      <c r="C142" t="s">
        <v>19</v>
      </c>
      <c r="D142">
        <v>0</v>
      </c>
    </row>
    <row r="143" spans="1:4" hidden="1" x14ac:dyDescent="0.3">
      <c r="A143">
        <v>357</v>
      </c>
      <c r="B143" t="s">
        <v>27</v>
      </c>
      <c r="C143" t="s">
        <v>19</v>
      </c>
      <c r="D143">
        <v>0</v>
      </c>
    </row>
    <row r="144" spans="1:4" hidden="1" x14ac:dyDescent="0.3">
      <c r="A144">
        <v>359</v>
      </c>
      <c r="B144" t="s">
        <v>28</v>
      </c>
      <c r="C144" t="s">
        <v>19</v>
      </c>
      <c r="D144">
        <v>0</v>
      </c>
    </row>
    <row r="145" spans="1:4" hidden="1" x14ac:dyDescent="0.3">
      <c r="A145">
        <v>360</v>
      </c>
      <c r="B145" t="s">
        <v>24</v>
      </c>
      <c r="C145" t="s">
        <v>19</v>
      </c>
      <c r="D145">
        <v>0</v>
      </c>
    </row>
    <row r="146" spans="1:4" hidden="1" x14ac:dyDescent="0.3">
      <c r="A146">
        <v>365</v>
      </c>
      <c r="B146" t="s">
        <v>28</v>
      </c>
      <c r="C146" t="s">
        <v>19</v>
      </c>
      <c r="D146">
        <v>0</v>
      </c>
    </row>
    <row r="147" spans="1:4" hidden="1" x14ac:dyDescent="0.3">
      <c r="A147">
        <v>369</v>
      </c>
      <c r="B147" t="s">
        <v>20</v>
      </c>
      <c r="C147" t="s">
        <v>19</v>
      </c>
      <c r="D147">
        <v>0</v>
      </c>
    </row>
    <row r="148" spans="1:4" hidden="1" x14ac:dyDescent="0.3">
      <c r="A148">
        <v>370</v>
      </c>
      <c r="B148" t="s">
        <v>20</v>
      </c>
      <c r="C148" t="s">
        <v>19</v>
      </c>
      <c r="D148">
        <v>0</v>
      </c>
    </row>
    <row r="149" spans="1:4" hidden="1" x14ac:dyDescent="0.3">
      <c r="A149">
        <v>375</v>
      </c>
      <c r="B149" t="s">
        <v>27</v>
      </c>
      <c r="C149" t="s">
        <v>19</v>
      </c>
      <c r="D149">
        <v>0</v>
      </c>
    </row>
    <row r="150" spans="1:4" hidden="1" x14ac:dyDescent="0.3">
      <c r="A150">
        <v>376</v>
      </c>
      <c r="B150" t="s">
        <v>23</v>
      </c>
      <c r="C150" t="s">
        <v>12</v>
      </c>
      <c r="D150">
        <v>0</v>
      </c>
    </row>
    <row r="151" spans="1:4" hidden="1" x14ac:dyDescent="0.3">
      <c r="A151">
        <v>377</v>
      </c>
      <c r="B151" t="s">
        <v>18</v>
      </c>
      <c r="C151" t="s">
        <v>19</v>
      </c>
      <c r="D151">
        <v>0</v>
      </c>
    </row>
    <row r="152" spans="1:4" hidden="1" x14ac:dyDescent="0.3">
      <c r="A152">
        <v>378</v>
      </c>
      <c r="B152" t="s">
        <v>27</v>
      </c>
      <c r="C152" t="s">
        <v>19</v>
      </c>
      <c r="D152">
        <v>0</v>
      </c>
    </row>
    <row r="153" spans="1:4" hidden="1" x14ac:dyDescent="0.3">
      <c r="A153">
        <v>383</v>
      </c>
      <c r="B153" t="s">
        <v>21</v>
      </c>
      <c r="C153" t="s">
        <v>19</v>
      </c>
      <c r="D153">
        <v>0</v>
      </c>
    </row>
    <row r="154" spans="1:4" hidden="1" x14ac:dyDescent="0.3">
      <c r="A154">
        <v>385</v>
      </c>
      <c r="B154" t="s">
        <v>28</v>
      </c>
      <c r="C154" t="s">
        <v>19</v>
      </c>
      <c r="D154">
        <v>0</v>
      </c>
    </row>
    <row r="155" spans="1:4" hidden="1" x14ac:dyDescent="0.3">
      <c r="A155">
        <v>386</v>
      </c>
      <c r="B155" t="s">
        <v>28</v>
      </c>
      <c r="C155" t="s">
        <v>19</v>
      </c>
      <c r="D155">
        <v>0</v>
      </c>
    </row>
    <row r="156" spans="1:4" hidden="1" x14ac:dyDescent="0.3">
      <c r="A156">
        <v>395</v>
      </c>
      <c r="B156" t="s">
        <v>28</v>
      </c>
      <c r="C156" t="s">
        <v>19</v>
      </c>
      <c r="D156">
        <v>0</v>
      </c>
    </row>
    <row r="157" spans="1:4" hidden="1" x14ac:dyDescent="0.3">
      <c r="A157">
        <v>399</v>
      </c>
      <c r="B157" t="s">
        <v>28</v>
      </c>
      <c r="C157" t="s">
        <v>19</v>
      </c>
      <c r="D157">
        <v>0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4C70B-04D2-4AF1-A6B6-FE37C70E7E88}">
  <sheetPr>
    <pageSetUpPr fitToPage="1"/>
  </sheetPr>
  <dimension ref="A1:I133"/>
  <sheetViews>
    <sheetView workbookViewId="0">
      <selection activeCell="C1" sqref="C1"/>
    </sheetView>
  </sheetViews>
  <sheetFormatPr defaultRowHeight="14.4" x14ac:dyDescent="0.3"/>
  <cols>
    <col min="1" max="1" width="4.77734375" bestFit="1" customWidth="1"/>
    <col min="2" max="2" width="9.109375" bestFit="1" customWidth="1"/>
    <col min="3" max="3" width="11.88671875" bestFit="1" customWidth="1"/>
    <col min="4" max="4" width="29.33203125" bestFit="1" customWidth="1"/>
    <col min="5" max="5" width="13" bestFit="1" customWidth="1"/>
    <col min="6" max="6" width="16.21875" bestFit="1" customWidth="1"/>
    <col min="7" max="7" width="12.44140625" bestFit="1" customWidth="1"/>
    <col min="8" max="8" width="11.44140625" bestFit="1" customWidth="1"/>
    <col min="9" max="9" width="15.5546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7</v>
      </c>
      <c r="B2">
        <v>114</v>
      </c>
      <c r="C2">
        <v>23</v>
      </c>
      <c r="D2">
        <v>0</v>
      </c>
      <c r="E2" s="1">
        <v>46075</v>
      </c>
      <c r="F2" t="s">
        <v>9</v>
      </c>
      <c r="G2" s="1">
        <v>46075</v>
      </c>
      <c r="H2">
        <v>0</v>
      </c>
      <c r="I2">
        <v>0</v>
      </c>
    </row>
    <row r="3" spans="1:9" x14ac:dyDescent="0.3">
      <c r="A3">
        <v>8</v>
      </c>
      <c r="B3">
        <v>114</v>
      </c>
      <c r="C3">
        <v>35</v>
      </c>
      <c r="D3">
        <v>143.9</v>
      </c>
      <c r="E3" s="1">
        <v>46116</v>
      </c>
      <c r="F3" t="s">
        <v>10</v>
      </c>
      <c r="G3" s="1">
        <v>46116</v>
      </c>
      <c r="H3">
        <v>1993</v>
      </c>
      <c r="I3">
        <v>1</v>
      </c>
    </row>
    <row r="4" spans="1:9" x14ac:dyDescent="0.3">
      <c r="A4">
        <v>9</v>
      </c>
      <c r="B4">
        <v>114</v>
      </c>
      <c r="C4">
        <v>46</v>
      </c>
      <c r="D4">
        <v>105</v>
      </c>
      <c r="E4" s="1">
        <v>46146</v>
      </c>
      <c r="F4" t="s">
        <v>11</v>
      </c>
      <c r="G4" s="1">
        <v>46146</v>
      </c>
      <c r="H4">
        <v>1458</v>
      </c>
      <c r="I4">
        <v>1</v>
      </c>
    </row>
    <row r="5" spans="1:9" x14ac:dyDescent="0.3">
      <c r="A5">
        <v>12</v>
      </c>
      <c r="B5">
        <v>114</v>
      </c>
      <c r="C5">
        <v>52.9</v>
      </c>
      <c r="D5">
        <v>80.5</v>
      </c>
      <c r="E5" s="1">
        <v>46169</v>
      </c>
      <c r="F5" t="s">
        <v>12</v>
      </c>
      <c r="G5" s="1">
        <v>46169</v>
      </c>
      <c r="H5">
        <v>1118</v>
      </c>
      <c r="I5">
        <v>1</v>
      </c>
    </row>
    <row r="6" spans="1:9" x14ac:dyDescent="0.3">
      <c r="A6">
        <v>13</v>
      </c>
      <c r="B6">
        <v>129</v>
      </c>
      <c r="C6">
        <v>31</v>
      </c>
      <c r="D6">
        <v>0</v>
      </c>
      <c r="E6" s="1">
        <v>46075</v>
      </c>
      <c r="F6" t="s">
        <v>9</v>
      </c>
      <c r="G6" s="1">
        <v>46075</v>
      </c>
      <c r="H6">
        <v>0</v>
      </c>
      <c r="I6">
        <v>0</v>
      </c>
    </row>
    <row r="7" spans="1:9" x14ac:dyDescent="0.3">
      <c r="A7">
        <v>14</v>
      </c>
      <c r="B7">
        <v>129</v>
      </c>
      <c r="C7">
        <v>42</v>
      </c>
      <c r="D7">
        <v>143.9</v>
      </c>
      <c r="E7" s="1">
        <v>46116</v>
      </c>
      <c r="F7" t="s">
        <v>10</v>
      </c>
      <c r="G7" s="1">
        <v>46116</v>
      </c>
      <c r="H7">
        <v>1993</v>
      </c>
      <c r="I7">
        <v>1</v>
      </c>
    </row>
    <row r="8" spans="1:9" x14ac:dyDescent="0.3">
      <c r="A8">
        <v>15</v>
      </c>
      <c r="B8">
        <v>129</v>
      </c>
      <c r="C8">
        <v>52.6</v>
      </c>
      <c r="D8">
        <v>105</v>
      </c>
      <c r="E8" s="1">
        <v>46146</v>
      </c>
      <c r="F8" t="s">
        <v>11</v>
      </c>
      <c r="G8" s="1">
        <v>46146</v>
      </c>
      <c r="H8">
        <v>1458</v>
      </c>
      <c r="I8">
        <v>1</v>
      </c>
    </row>
    <row r="9" spans="1:9" x14ac:dyDescent="0.3">
      <c r="A9">
        <v>16</v>
      </c>
      <c r="B9">
        <v>129</v>
      </c>
      <c r="C9">
        <v>56.3</v>
      </c>
      <c r="D9">
        <v>80.5</v>
      </c>
      <c r="E9" s="1">
        <v>46169</v>
      </c>
      <c r="F9" t="s">
        <v>12</v>
      </c>
      <c r="G9" s="1">
        <v>46169</v>
      </c>
      <c r="H9">
        <v>1118</v>
      </c>
      <c r="I9">
        <v>1</v>
      </c>
    </row>
    <row r="10" spans="1:9" x14ac:dyDescent="0.3">
      <c r="A10">
        <v>17</v>
      </c>
      <c r="B10">
        <v>169</v>
      </c>
      <c r="C10">
        <v>26</v>
      </c>
      <c r="D10">
        <v>0</v>
      </c>
      <c r="E10" s="1">
        <v>46075</v>
      </c>
      <c r="F10" t="s">
        <v>9</v>
      </c>
      <c r="G10" s="1">
        <v>46075</v>
      </c>
      <c r="H10">
        <v>0</v>
      </c>
      <c r="I10">
        <v>0</v>
      </c>
    </row>
    <row r="11" spans="1:9" x14ac:dyDescent="0.3">
      <c r="A11">
        <v>18</v>
      </c>
      <c r="B11">
        <v>169</v>
      </c>
      <c r="C11">
        <v>37</v>
      </c>
      <c r="D11">
        <v>143.9</v>
      </c>
      <c r="E11" s="1">
        <v>46116</v>
      </c>
      <c r="F11" t="s">
        <v>10</v>
      </c>
      <c r="G11" s="1">
        <v>46116</v>
      </c>
      <c r="H11">
        <v>1993</v>
      </c>
      <c r="I11">
        <v>1</v>
      </c>
    </row>
    <row r="12" spans="1:9" x14ac:dyDescent="0.3">
      <c r="A12">
        <v>19</v>
      </c>
      <c r="B12">
        <v>169</v>
      </c>
      <c r="C12">
        <v>45.9</v>
      </c>
      <c r="D12">
        <v>105</v>
      </c>
      <c r="E12" s="1">
        <v>46146</v>
      </c>
      <c r="F12" t="s">
        <v>11</v>
      </c>
      <c r="G12" s="1">
        <v>46146</v>
      </c>
      <c r="H12">
        <v>1458</v>
      </c>
      <c r="I12">
        <v>1</v>
      </c>
    </row>
    <row r="13" spans="1:9" x14ac:dyDescent="0.3">
      <c r="A13">
        <v>20</v>
      </c>
      <c r="B13">
        <v>169</v>
      </c>
      <c r="C13">
        <v>52</v>
      </c>
      <c r="D13">
        <v>70</v>
      </c>
      <c r="E13" s="1">
        <v>46166</v>
      </c>
      <c r="F13" t="s">
        <v>12</v>
      </c>
      <c r="G13" s="1">
        <v>46166</v>
      </c>
      <c r="H13">
        <v>972</v>
      </c>
      <c r="I13">
        <v>1</v>
      </c>
    </row>
    <row r="14" spans="1:9" x14ac:dyDescent="0.3">
      <c r="A14">
        <v>21</v>
      </c>
      <c r="B14">
        <v>170</v>
      </c>
      <c r="C14">
        <v>26</v>
      </c>
      <c r="D14">
        <v>0</v>
      </c>
      <c r="E14" s="1">
        <v>46075</v>
      </c>
      <c r="F14" t="s">
        <v>9</v>
      </c>
      <c r="G14" s="1">
        <v>46075</v>
      </c>
      <c r="H14">
        <v>0</v>
      </c>
      <c r="I14">
        <v>0</v>
      </c>
    </row>
    <row r="15" spans="1:9" x14ac:dyDescent="0.3">
      <c r="A15">
        <v>22</v>
      </c>
      <c r="B15">
        <v>170</v>
      </c>
      <c r="C15">
        <v>36</v>
      </c>
      <c r="D15">
        <v>143.9</v>
      </c>
      <c r="E15" s="1">
        <v>46116</v>
      </c>
      <c r="F15" t="s">
        <v>10</v>
      </c>
      <c r="G15" s="1">
        <v>46116</v>
      </c>
      <c r="H15">
        <v>1993</v>
      </c>
      <c r="I15">
        <v>1</v>
      </c>
    </row>
    <row r="16" spans="1:9" x14ac:dyDescent="0.3">
      <c r="A16">
        <v>23</v>
      </c>
      <c r="B16">
        <v>170</v>
      </c>
      <c r="C16">
        <v>47</v>
      </c>
      <c r="D16">
        <v>105</v>
      </c>
      <c r="E16" s="1">
        <v>46146</v>
      </c>
      <c r="F16" t="s">
        <v>11</v>
      </c>
      <c r="G16" s="1">
        <v>46146</v>
      </c>
      <c r="H16">
        <v>1458</v>
      </c>
      <c r="I16">
        <v>1</v>
      </c>
    </row>
    <row r="17" spans="1:9" x14ac:dyDescent="0.3">
      <c r="A17">
        <v>24</v>
      </c>
      <c r="B17">
        <v>171</v>
      </c>
      <c r="C17">
        <v>25</v>
      </c>
      <c r="D17">
        <v>0</v>
      </c>
      <c r="E17" s="1">
        <v>46075</v>
      </c>
      <c r="F17" t="s">
        <v>9</v>
      </c>
      <c r="G17" s="1">
        <v>46075</v>
      </c>
      <c r="H17">
        <v>0</v>
      </c>
      <c r="I17">
        <v>0</v>
      </c>
    </row>
    <row r="18" spans="1:9" x14ac:dyDescent="0.3">
      <c r="A18">
        <v>25</v>
      </c>
      <c r="B18">
        <v>171</v>
      </c>
      <c r="C18">
        <v>35</v>
      </c>
      <c r="D18">
        <v>143.9</v>
      </c>
      <c r="E18" s="1">
        <v>46116</v>
      </c>
      <c r="F18" t="s">
        <v>10</v>
      </c>
      <c r="G18" s="1">
        <v>46116</v>
      </c>
      <c r="H18">
        <v>1993</v>
      </c>
      <c r="I18">
        <v>1</v>
      </c>
    </row>
    <row r="19" spans="1:9" x14ac:dyDescent="0.3">
      <c r="A19">
        <v>26</v>
      </c>
      <c r="B19">
        <v>171</v>
      </c>
      <c r="C19">
        <v>43</v>
      </c>
      <c r="D19">
        <v>105</v>
      </c>
      <c r="E19" s="1">
        <v>46146</v>
      </c>
      <c r="F19" t="s">
        <v>11</v>
      </c>
      <c r="G19" s="1">
        <v>46146</v>
      </c>
      <c r="H19">
        <v>1458</v>
      </c>
      <c r="I19">
        <v>1</v>
      </c>
    </row>
    <row r="20" spans="1:9" x14ac:dyDescent="0.3">
      <c r="A20">
        <v>27</v>
      </c>
      <c r="B20">
        <v>171</v>
      </c>
      <c r="C20">
        <v>52.5</v>
      </c>
      <c r="D20">
        <v>59.5</v>
      </c>
      <c r="E20" s="1">
        <v>46163</v>
      </c>
      <c r="F20" t="s">
        <v>12</v>
      </c>
      <c r="G20" s="1">
        <v>46163</v>
      </c>
      <c r="H20">
        <v>826</v>
      </c>
      <c r="I20">
        <v>1</v>
      </c>
    </row>
    <row r="21" spans="1:9" x14ac:dyDescent="0.3">
      <c r="A21">
        <v>28</v>
      </c>
      <c r="B21">
        <v>172</v>
      </c>
      <c r="C21">
        <v>20</v>
      </c>
      <c r="D21">
        <v>0</v>
      </c>
      <c r="E21" s="1">
        <v>46075</v>
      </c>
      <c r="F21" t="s">
        <v>9</v>
      </c>
      <c r="G21" s="1">
        <v>46075</v>
      </c>
      <c r="H21">
        <v>0</v>
      </c>
      <c r="I21">
        <v>0</v>
      </c>
    </row>
    <row r="22" spans="1:9" x14ac:dyDescent="0.3">
      <c r="A22">
        <v>29</v>
      </c>
      <c r="B22">
        <v>172</v>
      </c>
      <c r="C22">
        <v>34</v>
      </c>
      <c r="D22">
        <v>143.9</v>
      </c>
      <c r="E22" s="1">
        <v>46116</v>
      </c>
      <c r="F22" t="s">
        <v>10</v>
      </c>
      <c r="G22" s="1">
        <v>46116</v>
      </c>
      <c r="H22">
        <v>1993</v>
      </c>
      <c r="I22">
        <v>1</v>
      </c>
    </row>
    <row r="23" spans="1:9" x14ac:dyDescent="0.3">
      <c r="A23">
        <v>30</v>
      </c>
      <c r="B23">
        <v>172</v>
      </c>
      <c r="C23">
        <v>40</v>
      </c>
      <c r="D23">
        <v>105</v>
      </c>
      <c r="E23" s="1">
        <v>46146</v>
      </c>
      <c r="F23" t="s">
        <v>11</v>
      </c>
      <c r="G23" s="1">
        <v>46146</v>
      </c>
      <c r="H23">
        <v>1458</v>
      </c>
      <c r="I23">
        <v>1</v>
      </c>
    </row>
    <row r="24" spans="1:9" x14ac:dyDescent="0.3">
      <c r="A24">
        <v>31</v>
      </c>
      <c r="B24">
        <v>172</v>
      </c>
      <c r="C24">
        <v>46.6</v>
      </c>
      <c r="D24">
        <v>80.5</v>
      </c>
      <c r="E24" s="1">
        <v>46169</v>
      </c>
      <c r="F24" t="s">
        <v>12</v>
      </c>
      <c r="G24" s="1">
        <v>46169</v>
      </c>
      <c r="H24">
        <v>1118</v>
      </c>
      <c r="I24">
        <v>1</v>
      </c>
    </row>
    <row r="25" spans="1:9" x14ac:dyDescent="0.3">
      <c r="A25">
        <v>32</v>
      </c>
      <c r="B25">
        <v>173</v>
      </c>
      <c r="C25">
        <v>28</v>
      </c>
      <c r="D25">
        <v>0</v>
      </c>
      <c r="E25" s="1">
        <v>46075</v>
      </c>
      <c r="F25" t="s">
        <v>9</v>
      </c>
      <c r="G25" s="1">
        <v>46075</v>
      </c>
      <c r="H25">
        <v>0</v>
      </c>
      <c r="I25">
        <v>0</v>
      </c>
    </row>
    <row r="26" spans="1:9" x14ac:dyDescent="0.3">
      <c r="A26">
        <v>33</v>
      </c>
      <c r="B26">
        <v>173</v>
      </c>
      <c r="C26">
        <v>39</v>
      </c>
      <c r="D26">
        <v>143.9</v>
      </c>
      <c r="E26" s="1">
        <v>46116</v>
      </c>
      <c r="F26" t="s">
        <v>10</v>
      </c>
      <c r="G26" s="1">
        <v>46116</v>
      </c>
      <c r="H26">
        <v>1993</v>
      </c>
      <c r="I26">
        <v>1</v>
      </c>
    </row>
    <row r="27" spans="1:9" x14ac:dyDescent="0.3">
      <c r="A27">
        <v>34</v>
      </c>
      <c r="B27">
        <v>173</v>
      </c>
      <c r="C27">
        <v>50</v>
      </c>
      <c r="D27">
        <v>105</v>
      </c>
      <c r="E27" s="1">
        <v>46146</v>
      </c>
      <c r="F27" t="s">
        <v>11</v>
      </c>
      <c r="G27" s="1">
        <v>46146</v>
      </c>
      <c r="H27">
        <v>1458</v>
      </c>
      <c r="I27">
        <v>1</v>
      </c>
    </row>
    <row r="28" spans="1:9" x14ac:dyDescent="0.3">
      <c r="A28">
        <v>35</v>
      </c>
      <c r="B28">
        <v>173</v>
      </c>
      <c r="C28">
        <v>52.5</v>
      </c>
      <c r="D28">
        <v>80.5</v>
      </c>
      <c r="E28" s="1">
        <v>46169</v>
      </c>
      <c r="F28" t="s">
        <v>12</v>
      </c>
      <c r="G28" s="1">
        <v>46169</v>
      </c>
      <c r="H28">
        <v>1118</v>
      </c>
      <c r="I28">
        <v>1</v>
      </c>
    </row>
    <row r="29" spans="1:9" x14ac:dyDescent="0.3">
      <c r="A29">
        <v>36</v>
      </c>
      <c r="B29">
        <v>174</v>
      </c>
      <c r="C29">
        <v>26</v>
      </c>
      <c r="D29">
        <v>0</v>
      </c>
      <c r="E29" s="1">
        <v>46075</v>
      </c>
      <c r="F29" t="s">
        <v>9</v>
      </c>
      <c r="G29" s="1">
        <v>46075</v>
      </c>
      <c r="H29">
        <v>0</v>
      </c>
      <c r="I29">
        <v>0</v>
      </c>
    </row>
    <row r="30" spans="1:9" x14ac:dyDescent="0.3">
      <c r="A30">
        <v>37</v>
      </c>
      <c r="B30">
        <v>174</v>
      </c>
      <c r="C30">
        <v>40</v>
      </c>
      <c r="D30">
        <v>143.9</v>
      </c>
      <c r="E30" s="1">
        <v>46116</v>
      </c>
      <c r="F30" t="s">
        <v>10</v>
      </c>
      <c r="G30" s="1">
        <v>46116</v>
      </c>
      <c r="H30">
        <v>1993</v>
      </c>
      <c r="I30">
        <v>1</v>
      </c>
    </row>
    <row r="31" spans="1:9" x14ac:dyDescent="0.3">
      <c r="A31">
        <v>38</v>
      </c>
      <c r="B31">
        <v>174</v>
      </c>
      <c r="C31">
        <v>47</v>
      </c>
      <c r="D31">
        <v>105</v>
      </c>
      <c r="E31" s="1">
        <v>46146</v>
      </c>
      <c r="F31" t="s">
        <v>11</v>
      </c>
      <c r="G31" s="1">
        <v>46146</v>
      </c>
      <c r="H31">
        <v>1458</v>
      </c>
      <c r="I31">
        <v>1</v>
      </c>
    </row>
    <row r="32" spans="1:9" x14ac:dyDescent="0.3">
      <c r="A32">
        <v>39</v>
      </c>
      <c r="B32">
        <v>174</v>
      </c>
      <c r="C32">
        <v>53</v>
      </c>
      <c r="D32">
        <v>73.5</v>
      </c>
      <c r="E32" s="1">
        <v>46167</v>
      </c>
      <c r="F32" t="s">
        <v>12</v>
      </c>
      <c r="G32" s="1">
        <v>46167</v>
      </c>
      <c r="H32">
        <v>1021</v>
      </c>
      <c r="I32">
        <v>1</v>
      </c>
    </row>
    <row r="33" spans="1:9" x14ac:dyDescent="0.3">
      <c r="A33">
        <v>40</v>
      </c>
      <c r="B33">
        <v>175</v>
      </c>
      <c r="C33">
        <v>22</v>
      </c>
      <c r="D33">
        <v>0</v>
      </c>
      <c r="E33" s="1">
        <v>46075</v>
      </c>
      <c r="F33" t="s">
        <v>9</v>
      </c>
      <c r="G33" s="1">
        <v>46075</v>
      </c>
      <c r="H33">
        <v>0</v>
      </c>
      <c r="I33">
        <v>0</v>
      </c>
    </row>
    <row r="34" spans="1:9" x14ac:dyDescent="0.3">
      <c r="A34">
        <v>41</v>
      </c>
      <c r="B34">
        <v>175</v>
      </c>
      <c r="C34">
        <v>34</v>
      </c>
      <c r="D34">
        <v>143.9</v>
      </c>
      <c r="E34" s="1">
        <v>46116</v>
      </c>
      <c r="F34" t="s">
        <v>10</v>
      </c>
      <c r="G34" s="1">
        <v>46116</v>
      </c>
      <c r="H34">
        <v>1993</v>
      </c>
      <c r="I34">
        <v>1</v>
      </c>
    </row>
    <row r="35" spans="1:9" x14ac:dyDescent="0.3">
      <c r="A35">
        <v>42</v>
      </c>
      <c r="B35">
        <v>175</v>
      </c>
      <c r="C35">
        <v>42</v>
      </c>
      <c r="D35">
        <v>105</v>
      </c>
      <c r="E35" s="1">
        <v>46146</v>
      </c>
      <c r="F35" t="s">
        <v>11</v>
      </c>
      <c r="G35" s="1">
        <v>46146</v>
      </c>
      <c r="H35">
        <v>1458</v>
      </c>
      <c r="I35">
        <v>1</v>
      </c>
    </row>
    <row r="36" spans="1:9" x14ac:dyDescent="0.3">
      <c r="A36">
        <v>43</v>
      </c>
      <c r="B36">
        <v>175</v>
      </c>
      <c r="C36">
        <v>47</v>
      </c>
      <c r="D36">
        <v>70</v>
      </c>
      <c r="E36" s="1">
        <v>46166</v>
      </c>
      <c r="F36" t="s">
        <v>12</v>
      </c>
      <c r="G36" s="1">
        <v>46166</v>
      </c>
      <c r="H36">
        <v>972</v>
      </c>
      <c r="I36">
        <v>1</v>
      </c>
    </row>
    <row r="37" spans="1:9" x14ac:dyDescent="0.3">
      <c r="A37">
        <v>44</v>
      </c>
      <c r="B37">
        <v>176</v>
      </c>
      <c r="C37">
        <v>24</v>
      </c>
      <c r="D37">
        <v>0</v>
      </c>
      <c r="E37" s="1">
        <v>46075</v>
      </c>
      <c r="F37" t="s">
        <v>9</v>
      </c>
      <c r="G37" s="1">
        <v>46075</v>
      </c>
      <c r="H37">
        <v>0</v>
      </c>
      <c r="I37">
        <v>0</v>
      </c>
    </row>
    <row r="38" spans="1:9" x14ac:dyDescent="0.3">
      <c r="A38">
        <v>45</v>
      </c>
      <c r="B38">
        <v>176</v>
      </c>
      <c r="C38">
        <v>34</v>
      </c>
      <c r="D38">
        <v>143.9</v>
      </c>
      <c r="E38" s="1">
        <v>46116</v>
      </c>
      <c r="F38" t="s">
        <v>10</v>
      </c>
      <c r="G38" s="1">
        <v>46116</v>
      </c>
      <c r="H38">
        <v>1993</v>
      </c>
      <c r="I38">
        <v>1</v>
      </c>
    </row>
    <row r="39" spans="1:9" x14ac:dyDescent="0.3">
      <c r="A39">
        <v>46</v>
      </c>
      <c r="B39">
        <v>176</v>
      </c>
      <c r="C39">
        <v>39</v>
      </c>
      <c r="D39">
        <v>105</v>
      </c>
      <c r="E39" s="1">
        <v>46146</v>
      </c>
      <c r="F39" t="s">
        <v>11</v>
      </c>
      <c r="G39" s="1">
        <v>46146</v>
      </c>
      <c r="H39">
        <v>1458</v>
      </c>
      <c r="I39">
        <v>1</v>
      </c>
    </row>
    <row r="40" spans="1:9" x14ac:dyDescent="0.3">
      <c r="A40">
        <v>47</v>
      </c>
      <c r="B40">
        <v>177</v>
      </c>
      <c r="C40">
        <v>30</v>
      </c>
      <c r="D40">
        <v>0</v>
      </c>
      <c r="E40" s="1">
        <v>46075</v>
      </c>
      <c r="F40" t="s">
        <v>9</v>
      </c>
      <c r="G40" s="1">
        <v>46075</v>
      </c>
      <c r="H40">
        <v>0</v>
      </c>
      <c r="I40">
        <v>0</v>
      </c>
    </row>
    <row r="41" spans="1:9" x14ac:dyDescent="0.3">
      <c r="A41">
        <v>48</v>
      </c>
      <c r="B41">
        <v>177</v>
      </c>
      <c r="C41">
        <v>38</v>
      </c>
      <c r="D41">
        <v>143.9</v>
      </c>
      <c r="E41" s="1">
        <v>46116</v>
      </c>
      <c r="F41" t="s">
        <v>10</v>
      </c>
      <c r="G41" s="1">
        <v>46116</v>
      </c>
      <c r="H41">
        <v>1993</v>
      </c>
      <c r="I41">
        <v>1</v>
      </c>
    </row>
    <row r="42" spans="1:9" x14ac:dyDescent="0.3">
      <c r="A42">
        <v>49</v>
      </c>
      <c r="B42">
        <v>177</v>
      </c>
      <c r="C42">
        <v>46</v>
      </c>
      <c r="D42">
        <v>105</v>
      </c>
      <c r="E42" s="1">
        <v>46146</v>
      </c>
      <c r="F42" t="s">
        <v>11</v>
      </c>
      <c r="G42" s="1">
        <v>46146</v>
      </c>
      <c r="H42">
        <v>1458</v>
      </c>
      <c r="I42">
        <v>1</v>
      </c>
    </row>
    <row r="43" spans="1:9" x14ac:dyDescent="0.3">
      <c r="A43">
        <v>50</v>
      </c>
      <c r="B43">
        <v>178</v>
      </c>
      <c r="C43">
        <v>39</v>
      </c>
      <c r="D43">
        <v>0</v>
      </c>
      <c r="E43" s="1">
        <v>46075</v>
      </c>
      <c r="F43" t="s">
        <v>9</v>
      </c>
      <c r="G43" s="1">
        <v>46075</v>
      </c>
      <c r="H43">
        <v>0</v>
      </c>
      <c r="I43">
        <v>0</v>
      </c>
    </row>
    <row r="44" spans="1:9" x14ac:dyDescent="0.3">
      <c r="A44">
        <v>51</v>
      </c>
      <c r="B44">
        <v>178</v>
      </c>
      <c r="C44">
        <v>50</v>
      </c>
      <c r="D44">
        <v>143.9</v>
      </c>
      <c r="E44" s="1">
        <v>46116</v>
      </c>
      <c r="F44" t="s">
        <v>10</v>
      </c>
      <c r="G44" s="1">
        <v>46116</v>
      </c>
      <c r="H44">
        <v>1993</v>
      </c>
      <c r="I44">
        <v>1</v>
      </c>
    </row>
    <row r="45" spans="1:9" x14ac:dyDescent="0.3">
      <c r="A45">
        <v>52</v>
      </c>
      <c r="B45">
        <v>179</v>
      </c>
      <c r="C45">
        <v>23.5</v>
      </c>
      <c r="D45">
        <v>0</v>
      </c>
      <c r="E45" s="1">
        <v>46075</v>
      </c>
      <c r="F45" t="s">
        <v>9</v>
      </c>
      <c r="G45" s="1">
        <v>46075</v>
      </c>
      <c r="H45">
        <v>0</v>
      </c>
      <c r="I45">
        <v>0</v>
      </c>
    </row>
    <row r="46" spans="1:9" x14ac:dyDescent="0.3">
      <c r="A46">
        <v>53</v>
      </c>
      <c r="B46">
        <v>179</v>
      </c>
      <c r="C46">
        <v>33</v>
      </c>
      <c r="D46">
        <v>143.9</v>
      </c>
      <c r="E46" s="1">
        <v>46116</v>
      </c>
      <c r="F46" t="s">
        <v>10</v>
      </c>
      <c r="G46" s="1">
        <v>46116</v>
      </c>
      <c r="H46">
        <v>1993</v>
      </c>
      <c r="I46">
        <v>1</v>
      </c>
    </row>
    <row r="47" spans="1:9" x14ac:dyDescent="0.3">
      <c r="A47">
        <v>54</v>
      </c>
      <c r="B47">
        <v>179</v>
      </c>
      <c r="C47">
        <v>44</v>
      </c>
      <c r="D47">
        <v>105</v>
      </c>
      <c r="E47" s="1">
        <v>46146</v>
      </c>
      <c r="F47" t="s">
        <v>13</v>
      </c>
      <c r="G47" s="1">
        <v>46146</v>
      </c>
      <c r="H47">
        <v>1458</v>
      </c>
      <c r="I47">
        <v>1</v>
      </c>
    </row>
    <row r="48" spans="1:9" x14ac:dyDescent="0.3">
      <c r="A48">
        <v>55</v>
      </c>
      <c r="B48">
        <v>179</v>
      </c>
      <c r="C48">
        <v>48</v>
      </c>
      <c r="D48">
        <v>80.5</v>
      </c>
      <c r="E48" s="1">
        <v>46169</v>
      </c>
      <c r="F48" t="s">
        <v>12</v>
      </c>
      <c r="G48" s="1">
        <v>46169</v>
      </c>
      <c r="H48">
        <v>1118</v>
      </c>
      <c r="I48">
        <v>1</v>
      </c>
    </row>
    <row r="49" spans="1:9" x14ac:dyDescent="0.3">
      <c r="A49">
        <v>56</v>
      </c>
      <c r="B49">
        <v>197</v>
      </c>
      <c r="C49">
        <v>23</v>
      </c>
      <c r="D49">
        <v>0</v>
      </c>
      <c r="E49" s="1">
        <v>46075</v>
      </c>
      <c r="F49" t="s">
        <v>9</v>
      </c>
      <c r="G49" s="1">
        <v>46075</v>
      </c>
      <c r="H49">
        <v>0</v>
      </c>
      <c r="I49">
        <v>0</v>
      </c>
    </row>
    <row r="50" spans="1:9" x14ac:dyDescent="0.3">
      <c r="A50">
        <v>57</v>
      </c>
      <c r="B50">
        <v>197</v>
      </c>
      <c r="C50">
        <v>35</v>
      </c>
      <c r="D50">
        <v>143.9</v>
      </c>
      <c r="E50" s="1">
        <v>46116</v>
      </c>
      <c r="F50" t="s">
        <v>10</v>
      </c>
      <c r="G50" s="1">
        <v>46116</v>
      </c>
      <c r="H50">
        <v>1993</v>
      </c>
      <c r="I50">
        <v>1</v>
      </c>
    </row>
    <row r="51" spans="1:9" x14ac:dyDescent="0.3">
      <c r="A51">
        <v>58</v>
      </c>
      <c r="B51">
        <v>197</v>
      </c>
      <c r="C51">
        <v>43</v>
      </c>
      <c r="D51">
        <v>105</v>
      </c>
      <c r="E51" s="1">
        <v>46146</v>
      </c>
      <c r="F51" t="s">
        <v>13</v>
      </c>
      <c r="G51" s="1">
        <v>46146</v>
      </c>
      <c r="H51">
        <v>1458</v>
      </c>
      <c r="I51">
        <v>1</v>
      </c>
    </row>
    <row r="52" spans="1:9" x14ac:dyDescent="0.3">
      <c r="A52">
        <v>59</v>
      </c>
      <c r="B52">
        <v>197</v>
      </c>
      <c r="C52">
        <v>47</v>
      </c>
      <c r="D52">
        <v>80.5</v>
      </c>
      <c r="E52" s="1">
        <v>46169</v>
      </c>
      <c r="F52" t="s">
        <v>12</v>
      </c>
      <c r="G52" s="1">
        <v>46169</v>
      </c>
      <c r="H52">
        <v>1118</v>
      </c>
      <c r="I52">
        <v>1</v>
      </c>
    </row>
    <row r="53" spans="1:9" x14ac:dyDescent="0.3">
      <c r="A53">
        <v>60</v>
      </c>
      <c r="B53">
        <v>198</v>
      </c>
      <c r="C53">
        <v>23</v>
      </c>
      <c r="D53">
        <v>0</v>
      </c>
      <c r="E53" s="1">
        <v>46075</v>
      </c>
      <c r="F53" t="s">
        <v>9</v>
      </c>
      <c r="G53" s="1">
        <v>46075</v>
      </c>
      <c r="H53">
        <v>0</v>
      </c>
      <c r="I53">
        <v>0</v>
      </c>
    </row>
    <row r="54" spans="1:9" x14ac:dyDescent="0.3">
      <c r="A54">
        <v>61</v>
      </c>
      <c r="B54">
        <v>198</v>
      </c>
      <c r="C54">
        <v>35</v>
      </c>
      <c r="D54">
        <v>143.9</v>
      </c>
      <c r="E54" s="1">
        <v>46116</v>
      </c>
      <c r="F54" t="s">
        <v>10</v>
      </c>
      <c r="G54" s="1">
        <v>46116</v>
      </c>
      <c r="H54">
        <v>1993</v>
      </c>
      <c r="I54">
        <v>1</v>
      </c>
    </row>
    <row r="55" spans="1:9" x14ac:dyDescent="0.3">
      <c r="A55">
        <v>62</v>
      </c>
      <c r="B55">
        <v>198</v>
      </c>
      <c r="C55">
        <v>44</v>
      </c>
      <c r="D55">
        <v>105</v>
      </c>
      <c r="E55" s="1">
        <v>46146</v>
      </c>
      <c r="F55" t="s">
        <v>13</v>
      </c>
      <c r="G55" s="1">
        <v>46146</v>
      </c>
      <c r="H55">
        <v>1458</v>
      </c>
      <c r="I55">
        <v>1</v>
      </c>
    </row>
    <row r="56" spans="1:9" x14ac:dyDescent="0.3">
      <c r="A56">
        <v>63</v>
      </c>
      <c r="B56">
        <v>198</v>
      </c>
      <c r="C56">
        <v>49</v>
      </c>
      <c r="D56">
        <v>70</v>
      </c>
      <c r="E56" s="1">
        <v>46166</v>
      </c>
      <c r="F56" t="s">
        <v>12</v>
      </c>
      <c r="G56" s="1">
        <v>46166</v>
      </c>
      <c r="H56">
        <v>972</v>
      </c>
      <c r="I56">
        <v>1</v>
      </c>
    </row>
    <row r="57" spans="1:9" x14ac:dyDescent="0.3">
      <c r="A57">
        <v>64</v>
      </c>
      <c r="B57">
        <v>199</v>
      </c>
      <c r="C57">
        <v>28</v>
      </c>
      <c r="D57">
        <v>0</v>
      </c>
      <c r="E57" s="1">
        <v>46075</v>
      </c>
      <c r="F57" t="s">
        <v>9</v>
      </c>
      <c r="G57" s="1">
        <v>46075</v>
      </c>
      <c r="H57">
        <v>0</v>
      </c>
      <c r="I57">
        <v>0</v>
      </c>
    </row>
    <row r="58" spans="1:9" x14ac:dyDescent="0.3">
      <c r="A58">
        <v>65</v>
      </c>
      <c r="B58">
        <v>199</v>
      </c>
      <c r="C58">
        <v>41</v>
      </c>
      <c r="D58">
        <v>143.9</v>
      </c>
      <c r="E58" s="1">
        <v>46116</v>
      </c>
      <c r="F58" t="s">
        <v>10</v>
      </c>
      <c r="G58" s="1">
        <v>46116</v>
      </c>
      <c r="H58">
        <v>1993</v>
      </c>
      <c r="I58">
        <v>1</v>
      </c>
    </row>
    <row r="59" spans="1:9" x14ac:dyDescent="0.3">
      <c r="A59">
        <v>66</v>
      </c>
      <c r="B59">
        <v>199</v>
      </c>
      <c r="C59">
        <v>48</v>
      </c>
      <c r="D59">
        <v>105</v>
      </c>
      <c r="E59" s="1">
        <v>46146</v>
      </c>
      <c r="F59" t="s">
        <v>13</v>
      </c>
      <c r="G59" s="1">
        <v>46146</v>
      </c>
      <c r="H59">
        <v>1458</v>
      </c>
      <c r="I59">
        <v>1</v>
      </c>
    </row>
    <row r="60" spans="1:9" x14ac:dyDescent="0.3">
      <c r="A60">
        <v>67</v>
      </c>
      <c r="B60">
        <v>199</v>
      </c>
      <c r="C60">
        <v>52.8</v>
      </c>
      <c r="D60">
        <v>59.5</v>
      </c>
      <c r="E60" s="1">
        <v>46163</v>
      </c>
      <c r="F60" t="s">
        <v>12</v>
      </c>
      <c r="G60" s="1">
        <v>46163</v>
      </c>
      <c r="H60">
        <v>826</v>
      </c>
      <c r="I60">
        <v>1</v>
      </c>
    </row>
    <row r="61" spans="1:9" x14ac:dyDescent="0.3">
      <c r="A61">
        <v>68</v>
      </c>
      <c r="B61">
        <v>200</v>
      </c>
      <c r="C61">
        <v>22</v>
      </c>
      <c r="D61">
        <v>0</v>
      </c>
      <c r="E61" s="1">
        <v>46075</v>
      </c>
      <c r="F61" t="s">
        <v>9</v>
      </c>
      <c r="G61" s="1">
        <v>46075</v>
      </c>
      <c r="H61">
        <v>0</v>
      </c>
      <c r="I61">
        <v>0</v>
      </c>
    </row>
    <row r="62" spans="1:9" x14ac:dyDescent="0.3">
      <c r="A62">
        <v>69</v>
      </c>
      <c r="B62">
        <v>200</v>
      </c>
      <c r="C62">
        <v>30</v>
      </c>
      <c r="D62">
        <v>143.9</v>
      </c>
      <c r="E62" s="1">
        <v>46116</v>
      </c>
      <c r="F62" t="s">
        <v>10</v>
      </c>
      <c r="G62" s="1">
        <v>46116</v>
      </c>
      <c r="H62">
        <v>1993</v>
      </c>
      <c r="I62">
        <v>1</v>
      </c>
    </row>
    <row r="63" spans="1:9" x14ac:dyDescent="0.3">
      <c r="A63">
        <v>70</v>
      </c>
      <c r="B63">
        <v>200</v>
      </c>
      <c r="C63">
        <v>41</v>
      </c>
      <c r="D63">
        <v>105</v>
      </c>
      <c r="E63" s="1">
        <v>46146</v>
      </c>
      <c r="F63" t="s">
        <v>13</v>
      </c>
      <c r="G63" s="1">
        <v>46146</v>
      </c>
      <c r="H63">
        <v>1458</v>
      </c>
      <c r="I63">
        <v>1</v>
      </c>
    </row>
    <row r="64" spans="1:9" x14ac:dyDescent="0.3">
      <c r="A64">
        <v>71</v>
      </c>
      <c r="B64">
        <v>200</v>
      </c>
      <c r="C64">
        <v>42.6</v>
      </c>
      <c r="D64">
        <v>80.5</v>
      </c>
      <c r="E64" s="1">
        <v>46169</v>
      </c>
      <c r="F64" t="s">
        <v>12</v>
      </c>
      <c r="G64" s="1">
        <v>46169</v>
      </c>
      <c r="H64">
        <v>1118</v>
      </c>
      <c r="I64">
        <v>1</v>
      </c>
    </row>
    <row r="65" spans="1:9" x14ac:dyDescent="0.3">
      <c r="A65">
        <v>72</v>
      </c>
      <c r="B65">
        <v>344</v>
      </c>
      <c r="C65">
        <v>26</v>
      </c>
      <c r="D65">
        <v>0</v>
      </c>
      <c r="E65" s="1">
        <v>46075</v>
      </c>
      <c r="F65" t="s">
        <v>9</v>
      </c>
      <c r="G65" s="1">
        <v>46075</v>
      </c>
      <c r="H65">
        <v>0</v>
      </c>
      <c r="I65">
        <v>0</v>
      </c>
    </row>
    <row r="66" spans="1:9" x14ac:dyDescent="0.3">
      <c r="A66">
        <v>73</v>
      </c>
      <c r="B66">
        <v>344</v>
      </c>
      <c r="C66">
        <v>35</v>
      </c>
      <c r="D66">
        <v>143.9</v>
      </c>
      <c r="E66" s="1">
        <v>46116</v>
      </c>
      <c r="F66" t="s">
        <v>10</v>
      </c>
      <c r="G66" s="1">
        <v>46116</v>
      </c>
      <c r="H66">
        <v>1993</v>
      </c>
      <c r="I66">
        <v>1</v>
      </c>
    </row>
    <row r="67" spans="1:9" x14ac:dyDescent="0.3">
      <c r="A67">
        <v>74</v>
      </c>
      <c r="B67">
        <v>344</v>
      </c>
      <c r="C67">
        <v>40</v>
      </c>
      <c r="D67">
        <v>105</v>
      </c>
      <c r="E67" s="1">
        <v>46146</v>
      </c>
      <c r="F67" t="s">
        <v>13</v>
      </c>
      <c r="G67" s="1">
        <v>46146</v>
      </c>
      <c r="H67">
        <v>1458</v>
      </c>
      <c r="I67">
        <v>1</v>
      </c>
    </row>
    <row r="68" spans="1:9" x14ac:dyDescent="0.3">
      <c r="A68">
        <v>75</v>
      </c>
      <c r="B68">
        <v>344</v>
      </c>
      <c r="C68">
        <v>43.6</v>
      </c>
      <c r="D68">
        <v>80.5</v>
      </c>
      <c r="E68" s="1">
        <v>46169</v>
      </c>
      <c r="F68" t="s">
        <v>12</v>
      </c>
      <c r="G68" s="1">
        <v>46169</v>
      </c>
      <c r="H68">
        <v>1118</v>
      </c>
      <c r="I68">
        <v>1</v>
      </c>
    </row>
    <row r="69" spans="1:9" x14ac:dyDescent="0.3">
      <c r="A69">
        <v>76</v>
      </c>
      <c r="B69">
        <v>361</v>
      </c>
      <c r="C69">
        <v>24.5</v>
      </c>
      <c r="D69">
        <v>0</v>
      </c>
      <c r="E69" s="1">
        <v>46075</v>
      </c>
      <c r="F69" t="s">
        <v>9</v>
      </c>
      <c r="G69" s="1">
        <v>46075</v>
      </c>
      <c r="H69">
        <v>0</v>
      </c>
      <c r="I69">
        <v>0</v>
      </c>
    </row>
    <row r="70" spans="1:9" x14ac:dyDescent="0.3">
      <c r="A70">
        <v>77</v>
      </c>
      <c r="B70">
        <v>361</v>
      </c>
      <c r="C70">
        <v>35</v>
      </c>
      <c r="D70">
        <v>143.9</v>
      </c>
      <c r="E70" s="1">
        <v>46116</v>
      </c>
      <c r="F70" t="s">
        <v>10</v>
      </c>
      <c r="G70" s="1">
        <v>46116</v>
      </c>
      <c r="H70">
        <v>1993</v>
      </c>
      <c r="I70">
        <v>1</v>
      </c>
    </row>
    <row r="71" spans="1:9" x14ac:dyDescent="0.3">
      <c r="A71">
        <v>78</v>
      </c>
      <c r="B71">
        <v>361</v>
      </c>
      <c r="C71">
        <v>43</v>
      </c>
      <c r="D71">
        <v>105</v>
      </c>
      <c r="E71" s="1">
        <v>46146</v>
      </c>
      <c r="F71" t="s">
        <v>13</v>
      </c>
      <c r="G71" s="1">
        <v>46146</v>
      </c>
      <c r="H71">
        <v>1458</v>
      </c>
      <c r="I71">
        <v>1</v>
      </c>
    </row>
    <row r="72" spans="1:9" x14ac:dyDescent="0.3">
      <c r="A72">
        <v>79</v>
      </c>
      <c r="B72">
        <v>361</v>
      </c>
      <c r="C72">
        <v>49</v>
      </c>
      <c r="D72">
        <v>80.5</v>
      </c>
      <c r="E72" s="1">
        <v>46169</v>
      </c>
      <c r="F72" t="s">
        <v>12</v>
      </c>
      <c r="G72" s="1">
        <v>46169</v>
      </c>
      <c r="H72">
        <v>1118</v>
      </c>
      <c r="I72">
        <v>1</v>
      </c>
    </row>
    <row r="73" spans="1:9" x14ac:dyDescent="0.3">
      <c r="A73">
        <v>80</v>
      </c>
      <c r="B73">
        <v>363</v>
      </c>
      <c r="C73">
        <v>23</v>
      </c>
      <c r="D73">
        <v>0</v>
      </c>
      <c r="E73" s="1">
        <v>46075</v>
      </c>
      <c r="F73" t="s">
        <v>9</v>
      </c>
      <c r="G73" s="1">
        <v>46075</v>
      </c>
      <c r="H73">
        <v>0</v>
      </c>
      <c r="I73">
        <v>0</v>
      </c>
    </row>
    <row r="74" spans="1:9" x14ac:dyDescent="0.3">
      <c r="A74">
        <v>81</v>
      </c>
      <c r="B74">
        <v>363</v>
      </c>
      <c r="C74">
        <v>31</v>
      </c>
      <c r="D74">
        <v>143.9</v>
      </c>
      <c r="E74" s="1">
        <v>46116</v>
      </c>
      <c r="F74" t="s">
        <v>10</v>
      </c>
      <c r="G74" s="1">
        <v>46116</v>
      </c>
      <c r="H74">
        <v>1993</v>
      </c>
      <c r="I74">
        <v>1</v>
      </c>
    </row>
    <row r="75" spans="1:9" x14ac:dyDescent="0.3">
      <c r="A75">
        <v>82</v>
      </c>
      <c r="B75">
        <v>363</v>
      </c>
      <c r="C75">
        <v>40</v>
      </c>
      <c r="D75">
        <v>105</v>
      </c>
      <c r="E75" s="1">
        <v>46146</v>
      </c>
      <c r="F75" t="s">
        <v>13</v>
      </c>
      <c r="G75" s="1">
        <v>46146</v>
      </c>
      <c r="H75">
        <v>1458</v>
      </c>
      <c r="I75">
        <v>1</v>
      </c>
    </row>
    <row r="76" spans="1:9" x14ac:dyDescent="0.3">
      <c r="A76">
        <v>83</v>
      </c>
      <c r="B76">
        <v>363</v>
      </c>
      <c r="C76">
        <v>47</v>
      </c>
      <c r="D76">
        <v>80.5</v>
      </c>
      <c r="E76" s="1">
        <v>46169</v>
      </c>
      <c r="F76" t="s">
        <v>12</v>
      </c>
      <c r="G76" s="1">
        <v>46169</v>
      </c>
      <c r="H76">
        <v>1118</v>
      </c>
      <c r="I76">
        <v>1</v>
      </c>
    </row>
    <row r="77" spans="1:9" x14ac:dyDescent="0.3">
      <c r="A77">
        <v>84</v>
      </c>
      <c r="B77">
        <v>364</v>
      </c>
      <c r="C77">
        <v>24.5</v>
      </c>
      <c r="D77">
        <v>0</v>
      </c>
      <c r="E77" s="1">
        <v>46075</v>
      </c>
      <c r="F77" t="s">
        <v>9</v>
      </c>
      <c r="G77" s="1">
        <v>46075</v>
      </c>
      <c r="H77">
        <v>0</v>
      </c>
      <c r="I77">
        <v>0</v>
      </c>
    </row>
    <row r="78" spans="1:9" x14ac:dyDescent="0.3">
      <c r="A78">
        <v>85</v>
      </c>
      <c r="B78">
        <v>364</v>
      </c>
      <c r="C78">
        <v>35</v>
      </c>
      <c r="D78">
        <v>143.9</v>
      </c>
      <c r="E78" s="1">
        <v>46116</v>
      </c>
      <c r="F78" t="s">
        <v>10</v>
      </c>
      <c r="G78" s="1">
        <v>46116</v>
      </c>
      <c r="H78">
        <v>1993</v>
      </c>
      <c r="I78">
        <v>1</v>
      </c>
    </row>
    <row r="79" spans="1:9" x14ac:dyDescent="0.3">
      <c r="A79">
        <v>86</v>
      </c>
      <c r="B79">
        <v>364</v>
      </c>
      <c r="C79">
        <v>50</v>
      </c>
      <c r="D79">
        <v>105</v>
      </c>
      <c r="E79" s="1">
        <v>46146</v>
      </c>
      <c r="F79" t="s">
        <v>13</v>
      </c>
      <c r="G79" s="1">
        <v>46146</v>
      </c>
      <c r="H79">
        <v>1458</v>
      </c>
      <c r="I79">
        <v>1</v>
      </c>
    </row>
    <row r="80" spans="1:9" x14ac:dyDescent="0.3">
      <c r="A80">
        <v>87</v>
      </c>
      <c r="B80">
        <v>364</v>
      </c>
      <c r="C80">
        <v>61</v>
      </c>
      <c r="D80">
        <v>80.5</v>
      </c>
      <c r="E80" s="1">
        <v>46169</v>
      </c>
      <c r="F80" t="s">
        <v>12</v>
      </c>
      <c r="G80" s="1">
        <v>46169</v>
      </c>
      <c r="H80">
        <v>1118</v>
      </c>
      <c r="I80">
        <v>1</v>
      </c>
    </row>
    <row r="81" spans="1:9" x14ac:dyDescent="0.3">
      <c r="A81">
        <v>88</v>
      </c>
      <c r="B81">
        <v>7</v>
      </c>
      <c r="C81">
        <v>18</v>
      </c>
      <c r="D81">
        <v>0</v>
      </c>
      <c r="E81" s="1">
        <v>46075</v>
      </c>
      <c r="F81" t="s">
        <v>9</v>
      </c>
      <c r="G81" s="1">
        <v>46075</v>
      </c>
      <c r="H81">
        <v>0</v>
      </c>
      <c r="I81">
        <v>0</v>
      </c>
    </row>
    <row r="82" spans="1:9" x14ac:dyDescent="0.3">
      <c r="A82">
        <v>89</v>
      </c>
      <c r="B82">
        <v>7</v>
      </c>
      <c r="C82">
        <v>27</v>
      </c>
      <c r="D82">
        <v>143.9</v>
      </c>
      <c r="E82" s="1">
        <v>46116</v>
      </c>
      <c r="F82" t="s">
        <v>10</v>
      </c>
      <c r="G82" s="1">
        <v>46116</v>
      </c>
      <c r="H82">
        <v>1993</v>
      </c>
      <c r="I82">
        <v>1</v>
      </c>
    </row>
    <row r="83" spans="1:9" x14ac:dyDescent="0.3">
      <c r="A83">
        <v>90</v>
      </c>
      <c r="B83">
        <v>7</v>
      </c>
      <c r="C83">
        <v>39</v>
      </c>
      <c r="D83">
        <v>105</v>
      </c>
      <c r="E83" s="1">
        <v>46146</v>
      </c>
      <c r="F83" t="s">
        <v>13</v>
      </c>
      <c r="G83" s="1">
        <v>46146</v>
      </c>
      <c r="H83">
        <v>1458</v>
      </c>
      <c r="I83">
        <v>1</v>
      </c>
    </row>
    <row r="84" spans="1:9" x14ac:dyDescent="0.3">
      <c r="A84">
        <v>91</v>
      </c>
      <c r="B84">
        <v>7</v>
      </c>
      <c r="C84">
        <v>46.3</v>
      </c>
      <c r="D84">
        <v>80.5</v>
      </c>
      <c r="E84" s="1">
        <v>46169</v>
      </c>
      <c r="F84" t="s">
        <v>12</v>
      </c>
      <c r="G84" s="1">
        <v>46169</v>
      </c>
      <c r="H84">
        <v>1118</v>
      </c>
      <c r="I84">
        <v>1</v>
      </c>
    </row>
    <row r="85" spans="1:9" x14ac:dyDescent="0.3">
      <c r="A85">
        <v>95</v>
      </c>
      <c r="B85">
        <v>22</v>
      </c>
      <c r="C85">
        <v>27</v>
      </c>
      <c r="D85">
        <v>0</v>
      </c>
      <c r="E85" s="1">
        <v>46075</v>
      </c>
      <c r="F85" t="s">
        <v>9</v>
      </c>
      <c r="G85" s="1">
        <v>46075</v>
      </c>
      <c r="H85">
        <v>0</v>
      </c>
      <c r="I85">
        <v>0</v>
      </c>
    </row>
    <row r="86" spans="1:9" x14ac:dyDescent="0.3">
      <c r="A86">
        <v>96</v>
      </c>
      <c r="B86">
        <v>22</v>
      </c>
      <c r="C86">
        <v>40</v>
      </c>
      <c r="D86">
        <v>143.9</v>
      </c>
      <c r="E86" s="1">
        <v>46116</v>
      </c>
      <c r="F86" t="s">
        <v>10</v>
      </c>
      <c r="G86" s="1">
        <v>46116</v>
      </c>
      <c r="H86">
        <v>1993</v>
      </c>
      <c r="I86">
        <v>1</v>
      </c>
    </row>
    <row r="87" spans="1:9" x14ac:dyDescent="0.3">
      <c r="A87">
        <v>97</v>
      </c>
      <c r="B87">
        <v>22</v>
      </c>
      <c r="C87">
        <v>51</v>
      </c>
      <c r="D87">
        <v>105</v>
      </c>
      <c r="E87" s="1">
        <v>46146</v>
      </c>
      <c r="F87" t="s">
        <v>13</v>
      </c>
      <c r="G87" s="1">
        <v>46146</v>
      </c>
      <c r="H87">
        <v>1458</v>
      </c>
      <c r="I87">
        <v>1</v>
      </c>
    </row>
    <row r="88" spans="1:9" x14ac:dyDescent="0.3">
      <c r="A88">
        <v>98</v>
      </c>
      <c r="B88">
        <v>22</v>
      </c>
      <c r="C88">
        <v>55.9</v>
      </c>
      <c r="D88">
        <v>80.5</v>
      </c>
      <c r="E88" s="1">
        <v>46169</v>
      </c>
      <c r="F88" t="s">
        <v>12</v>
      </c>
      <c r="G88" s="1">
        <v>46169</v>
      </c>
      <c r="H88">
        <v>1118</v>
      </c>
      <c r="I88">
        <v>1</v>
      </c>
    </row>
    <row r="89" spans="1:9" x14ac:dyDescent="0.3">
      <c r="A89">
        <v>99</v>
      </c>
      <c r="B89">
        <v>23</v>
      </c>
      <c r="C89">
        <v>30</v>
      </c>
      <c r="D89">
        <v>0</v>
      </c>
      <c r="E89" s="1">
        <v>46075</v>
      </c>
      <c r="F89" t="s">
        <v>9</v>
      </c>
      <c r="G89" s="1">
        <v>46075</v>
      </c>
      <c r="H89">
        <v>0</v>
      </c>
      <c r="I89">
        <v>0</v>
      </c>
    </row>
    <row r="90" spans="1:9" x14ac:dyDescent="0.3">
      <c r="A90">
        <v>100</v>
      </c>
      <c r="B90">
        <v>23</v>
      </c>
      <c r="C90">
        <v>47</v>
      </c>
      <c r="D90">
        <v>143.9</v>
      </c>
      <c r="E90" s="1">
        <v>46116</v>
      </c>
      <c r="F90" t="s">
        <v>10</v>
      </c>
      <c r="G90" s="1">
        <v>46116</v>
      </c>
      <c r="H90">
        <v>1993</v>
      </c>
      <c r="I90">
        <v>1</v>
      </c>
    </row>
    <row r="91" spans="1:9" x14ac:dyDescent="0.3">
      <c r="A91">
        <v>101</v>
      </c>
      <c r="B91">
        <v>23</v>
      </c>
      <c r="C91">
        <v>53</v>
      </c>
      <c r="D91">
        <v>105</v>
      </c>
      <c r="E91" s="1">
        <v>46146</v>
      </c>
      <c r="F91" t="s">
        <v>13</v>
      </c>
      <c r="G91" s="1">
        <v>46146</v>
      </c>
      <c r="H91">
        <v>1458</v>
      </c>
      <c r="I91">
        <v>1</v>
      </c>
    </row>
    <row r="92" spans="1:9" x14ac:dyDescent="0.3">
      <c r="A92">
        <v>102</v>
      </c>
      <c r="B92">
        <v>23</v>
      </c>
      <c r="C92">
        <v>56</v>
      </c>
      <c r="D92">
        <v>80.5</v>
      </c>
      <c r="E92" s="1">
        <v>46169</v>
      </c>
      <c r="F92" t="s">
        <v>12</v>
      </c>
      <c r="G92" s="1">
        <v>46169</v>
      </c>
      <c r="H92">
        <v>1118</v>
      </c>
      <c r="I92">
        <v>1</v>
      </c>
    </row>
    <row r="93" spans="1:9" x14ac:dyDescent="0.3">
      <c r="A93">
        <v>103</v>
      </c>
      <c r="B93">
        <v>24</v>
      </c>
      <c r="C93">
        <v>25</v>
      </c>
      <c r="D93">
        <v>0</v>
      </c>
      <c r="E93" s="1">
        <v>46075</v>
      </c>
      <c r="F93" t="s">
        <v>9</v>
      </c>
      <c r="G93" s="1">
        <v>46075</v>
      </c>
      <c r="H93">
        <v>0</v>
      </c>
      <c r="I93">
        <v>0</v>
      </c>
    </row>
    <row r="94" spans="1:9" x14ac:dyDescent="0.3">
      <c r="A94">
        <v>104</v>
      </c>
      <c r="B94">
        <v>24</v>
      </c>
      <c r="C94">
        <v>34</v>
      </c>
      <c r="D94">
        <v>143.9</v>
      </c>
      <c r="E94" s="1">
        <v>46116</v>
      </c>
      <c r="F94" t="s">
        <v>10</v>
      </c>
      <c r="G94" s="1">
        <v>46116</v>
      </c>
      <c r="H94">
        <v>1993</v>
      </c>
      <c r="I94">
        <v>1</v>
      </c>
    </row>
    <row r="95" spans="1:9" x14ac:dyDescent="0.3">
      <c r="A95">
        <v>105</v>
      </c>
      <c r="B95">
        <v>24</v>
      </c>
      <c r="C95">
        <v>42</v>
      </c>
      <c r="D95">
        <v>105</v>
      </c>
      <c r="E95" s="1">
        <v>46146</v>
      </c>
      <c r="F95" t="s">
        <v>13</v>
      </c>
      <c r="G95" s="1">
        <v>46146</v>
      </c>
      <c r="H95">
        <v>1458</v>
      </c>
      <c r="I95">
        <v>1</v>
      </c>
    </row>
    <row r="96" spans="1:9" x14ac:dyDescent="0.3">
      <c r="A96">
        <v>106</v>
      </c>
      <c r="B96">
        <v>25</v>
      </c>
      <c r="C96">
        <v>20</v>
      </c>
      <c r="D96">
        <v>0</v>
      </c>
      <c r="E96" s="1">
        <v>46075</v>
      </c>
      <c r="F96" t="s">
        <v>9</v>
      </c>
      <c r="G96" s="1">
        <v>46075</v>
      </c>
      <c r="H96">
        <v>0</v>
      </c>
      <c r="I96">
        <v>0</v>
      </c>
    </row>
    <row r="97" spans="1:9" x14ac:dyDescent="0.3">
      <c r="A97">
        <v>107</v>
      </c>
      <c r="B97">
        <v>25</v>
      </c>
      <c r="C97">
        <v>28</v>
      </c>
      <c r="D97">
        <v>143.9</v>
      </c>
      <c r="E97" s="1">
        <v>46116</v>
      </c>
      <c r="F97" t="s">
        <v>10</v>
      </c>
      <c r="G97" s="1">
        <v>46116</v>
      </c>
      <c r="H97">
        <v>1993</v>
      </c>
      <c r="I97">
        <v>1</v>
      </c>
    </row>
    <row r="98" spans="1:9" x14ac:dyDescent="0.3">
      <c r="A98">
        <v>108</v>
      </c>
      <c r="B98">
        <v>25</v>
      </c>
      <c r="C98">
        <v>38</v>
      </c>
      <c r="D98">
        <v>105</v>
      </c>
      <c r="E98" s="1">
        <v>46146</v>
      </c>
      <c r="F98" t="s">
        <v>13</v>
      </c>
      <c r="G98" s="1">
        <v>46146</v>
      </c>
      <c r="H98">
        <v>1458</v>
      </c>
      <c r="I98">
        <v>1</v>
      </c>
    </row>
    <row r="99" spans="1:9" x14ac:dyDescent="0.3">
      <c r="A99">
        <v>109</v>
      </c>
      <c r="B99">
        <v>28</v>
      </c>
      <c r="C99">
        <v>26</v>
      </c>
      <c r="D99">
        <v>0</v>
      </c>
      <c r="E99" s="1">
        <v>46075</v>
      </c>
      <c r="F99" t="s">
        <v>9</v>
      </c>
      <c r="G99" s="1">
        <v>46075</v>
      </c>
      <c r="H99">
        <v>0</v>
      </c>
      <c r="I99">
        <v>0</v>
      </c>
    </row>
    <row r="100" spans="1:9" x14ac:dyDescent="0.3">
      <c r="A100">
        <v>110</v>
      </c>
      <c r="B100">
        <v>28</v>
      </c>
      <c r="C100">
        <v>35</v>
      </c>
      <c r="D100">
        <v>143.9</v>
      </c>
      <c r="E100" s="1">
        <v>46116</v>
      </c>
      <c r="F100" t="s">
        <v>10</v>
      </c>
      <c r="G100" s="1">
        <v>46116</v>
      </c>
      <c r="H100">
        <v>1993</v>
      </c>
      <c r="I100">
        <v>1</v>
      </c>
    </row>
    <row r="101" spans="1:9" x14ac:dyDescent="0.3">
      <c r="A101">
        <v>111</v>
      </c>
      <c r="B101">
        <v>28</v>
      </c>
      <c r="C101">
        <v>43</v>
      </c>
      <c r="D101">
        <v>105</v>
      </c>
      <c r="E101" s="1">
        <v>46146</v>
      </c>
      <c r="F101" t="s">
        <v>13</v>
      </c>
      <c r="G101" s="1">
        <v>46146</v>
      </c>
      <c r="H101">
        <v>1458</v>
      </c>
      <c r="I101">
        <v>1</v>
      </c>
    </row>
    <row r="102" spans="1:9" x14ac:dyDescent="0.3">
      <c r="A102">
        <v>112</v>
      </c>
      <c r="B102">
        <v>28</v>
      </c>
      <c r="C102">
        <v>48.1</v>
      </c>
      <c r="D102">
        <v>80.5</v>
      </c>
      <c r="E102" s="1">
        <v>46169</v>
      </c>
      <c r="F102" t="s">
        <v>12</v>
      </c>
      <c r="G102" s="1">
        <v>46169</v>
      </c>
      <c r="H102">
        <v>1118</v>
      </c>
      <c r="I102">
        <v>1</v>
      </c>
    </row>
    <row r="103" spans="1:9" x14ac:dyDescent="0.3">
      <c r="A103">
        <v>113</v>
      </c>
      <c r="B103">
        <v>46</v>
      </c>
      <c r="C103">
        <v>26</v>
      </c>
      <c r="D103">
        <v>0</v>
      </c>
      <c r="E103" s="1">
        <v>46075</v>
      </c>
      <c r="F103" t="s">
        <v>9</v>
      </c>
      <c r="G103" s="1">
        <v>46075</v>
      </c>
      <c r="H103">
        <v>0</v>
      </c>
      <c r="I103">
        <v>0</v>
      </c>
    </row>
    <row r="104" spans="1:9" x14ac:dyDescent="0.3">
      <c r="A104">
        <v>114</v>
      </c>
      <c r="B104">
        <v>46</v>
      </c>
      <c r="C104">
        <v>37</v>
      </c>
      <c r="D104">
        <v>143.9</v>
      </c>
      <c r="E104" s="1">
        <v>46116</v>
      </c>
      <c r="F104" t="s">
        <v>10</v>
      </c>
      <c r="G104" s="1">
        <v>46116</v>
      </c>
      <c r="H104">
        <v>1993</v>
      </c>
      <c r="I104">
        <v>1</v>
      </c>
    </row>
    <row r="105" spans="1:9" x14ac:dyDescent="0.3">
      <c r="A105">
        <v>115</v>
      </c>
      <c r="B105">
        <v>47</v>
      </c>
      <c r="C105">
        <v>26</v>
      </c>
      <c r="D105">
        <v>0</v>
      </c>
      <c r="E105" s="1">
        <v>46075</v>
      </c>
      <c r="F105" t="s">
        <v>9</v>
      </c>
      <c r="G105" s="1">
        <v>46075</v>
      </c>
      <c r="H105">
        <v>0</v>
      </c>
      <c r="I105">
        <v>0</v>
      </c>
    </row>
    <row r="106" spans="1:9" x14ac:dyDescent="0.3">
      <c r="A106">
        <v>116</v>
      </c>
      <c r="B106">
        <v>47</v>
      </c>
      <c r="C106">
        <v>33</v>
      </c>
      <c r="D106">
        <v>143.9</v>
      </c>
      <c r="E106" s="1">
        <v>46116</v>
      </c>
      <c r="F106" t="s">
        <v>10</v>
      </c>
      <c r="G106" s="1">
        <v>46116</v>
      </c>
      <c r="H106">
        <v>1993</v>
      </c>
      <c r="I106">
        <v>1</v>
      </c>
    </row>
    <row r="107" spans="1:9" x14ac:dyDescent="0.3">
      <c r="A107">
        <v>117</v>
      </c>
      <c r="B107">
        <v>47</v>
      </c>
      <c r="C107">
        <v>43</v>
      </c>
      <c r="D107">
        <v>105</v>
      </c>
      <c r="E107" s="1">
        <v>46146</v>
      </c>
      <c r="F107" t="s">
        <v>13</v>
      </c>
      <c r="G107" s="1">
        <v>46146</v>
      </c>
      <c r="H107">
        <v>1458</v>
      </c>
      <c r="I107">
        <v>1</v>
      </c>
    </row>
    <row r="108" spans="1:9" x14ac:dyDescent="0.3">
      <c r="A108">
        <v>118</v>
      </c>
      <c r="B108">
        <v>49</v>
      </c>
      <c r="C108">
        <v>20</v>
      </c>
      <c r="D108">
        <v>0</v>
      </c>
      <c r="E108" s="1">
        <v>46075</v>
      </c>
      <c r="F108" t="s">
        <v>9</v>
      </c>
      <c r="G108" s="1">
        <v>46075</v>
      </c>
      <c r="H108">
        <v>0</v>
      </c>
      <c r="I108">
        <v>0</v>
      </c>
    </row>
    <row r="109" spans="1:9" x14ac:dyDescent="0.3">
      <c r="A109">
        <v>119</v>
      </c>
      <c r="B109">
        <v>49</v>
      </c>
      <c r="C109">
        <v>30</v>
      </c>
      <c r="D109">
        <v>143.9</v>
      </c>
      <c r="E109" s="1">
        <v>46116</v>
      </c>
      <c r="F109" t="s">
        <v>10</v>
      </c>
      <c r="G109" s="1">
        <v>46116</v>
      </c>
      <c r="H109">
        <v>1993</v>
      </c>
      <c r="I109">
        <v>1</v>
      </c>
    </row>
    <row r="110" spans="1:9" x14ac:dyDescent="0.3">
      <c r="A110">
        <v>120</v>
      </c>
      <c r="B110">
        <v>49</v>
      </c>
      <c r="C110">
        <v>38</v>
      </c>
      <c r="D110">
        <v>105</v>
      </c>
      <c r="E110" s="1">
        <v>46146</v>
      </c>
      <c r="F110" t="s">
        <v>13</v>
      </c>
      <c r="G110" s="1">
        <v>46146</v>
      </c>
      <c r="H110">
        <v>1458</v>
      </c>
      <c r="I110">
        <v>1</v>
      </c>
    </row>
    <row r="111" spans="1:9" x14ac:dyDescent="0.3">
      <c r="A111">
        <v>121</v>
      </c>
      <c r="B111">
        <v>50</v>
      </c>
      <c r="C111">
        <v>27</v>
      </c>
      <c r="D111">
        <v>0</v>
      </c>
      <c r="E111" s="1">
        <v>46075</v>
      </c>
      <c r="F111" t="s">
        <v>9</v>
      </c>
      <c r="G111" s="1">
        <v>46075</v>
      </c>
      <c r="H111">
        <v>0</v>
      </c>
      <c r="I111">
        <v>0</v>
      </c>
    </row>
    <row r="112" spans="1:9" x14ac:dyDescent="0.3">
      <c r="A112">
        <v>122</v>
      </c>
      <c r="B112">
        <v>50</v>
      </c>
      <c r="C112">
        <v>36</v>
      </c>
      <c r="D112">
        <v>143.9</v>
      </c>
      <c r="E112" s="1">
        <v>46116</v>
      </c>
      <c r="F112" t="s">
        <v>10</v>
      </c>
      <c r="G112" s="1">
        <v>46116</v>
      </c>
      <c r="H112">
        <v>1993</v>
      </c>
      <c r="I112">
        <v>1</v>
      </c>
    </row>
    <row r="113" spans="1:9" x14ac:dyDescent="0.3">
      <c r="A113">
        <v>123</v>
      </c>
      <c r="B113">
        <v>50</v>
      </c>
      <c r="C113">
        <v>47</v>
      </c>
      <c r="D113">
        <v>105</v>
      </c>
      <c r="E113" s="1">
        <v>46146</v>
      </c>
      <c r="F113" t="s">
        <v>11</v>
      </c>
      <c r="G113" s="1">
        <v>46146</v>
      </c>
      <c r="H113">
        <v>1458</v>
      </c>
      <c r="I113">
        <v>1</v>
      </c>
    </row>
    <row r="114" spans="1:9" x14ac:dyDescent="0.3">
      <c r="A114">
        <v>124</v>
      </c>
      <c r="B114">
        <v>50</v>
      </c>
      <c r="C114">
        <v>54</v>
      </c>
      <c r="D114">
        <v>70</v>
      </c>
      <c r="E114" s="1">
        <v>46166</v>
      </c>
      <c r="F114" t="s">
        <v>12</v>
      </c>
      <c r="G114" s="1">
        <v>46166</v>
      </c>
      <c r="H114">
        <v>972</v>
      </c>
      <c r="I114">
        <v>1</v>
      </c>
    </row>
    <row r="115" spans="1:9" x14ac:dyDescent="0.3">
      <c r="A115">
        <v>125</v>
      </c>
      <c r="B115">
        <v>52</v>
      </c>
      <c r="C115">
        <v>20</v>
      </c>
      <c r="D115">
        <v>0</v>
      </c>
      <c r="E115" s="1">
        <v>46075</v>
      </c>
      <c r="F115" t="s">
        <v>9</v>
      </c>
      <c r="G115" s="1">
        <v>46075</v>
      </c>
      <c r="H115">
        <v>0</v>
      </c>
      <c r="I115">
        <v>0</v>
      </c>
    </row>
    <row r="116" spans="1:9" x14ac:dyDescent="0.3">
      <c r="A116">
        <v>126</v>
      </c>
      <c r="B116">
        <v>52</v>
      </c>
      <c r="C116">
        <v>36</v>
      </c>
      <c r="D116">
        <v>143.9</v>
      </c>
      <c r="E116" s="1">
        <v>46116</v>
      </c>
      <c r="F116" t="s">
        <v>10</v>
      </c>
      <c r="G116" s="1">
        <v>46116</v>
      </c>
      <c r="H116">
        <v>1993</v>
      </c>
      <c r="I116">
        <v>1</v>
      </c>
    </row>
    <row r="117" spans="1:9" x14ac:dyDescent="0.3">
      <c r="A117">
        <v>127</v>
      </c>
      <c r="B117">
        <v>52</v>
      </c>
      <c r="C117">
        <v>43</v>
      </c>
      <c r="D117">
        <v>105</v>
      </c>
      <c r="E117" s="1">
        <v>46146</v>
      </c>
      <c r="F117" t="s">
        <v>11</v>
      </c>
      <c r="G117" s="1">
        <v>46146</v>
      </c>
      <c r="H117">
        <v>1458</v>
      </c>
      <c r="I117">
        <v>1</v>
      </c>
    </row>
    <row r="118" spans="1:9" x14ac:dyDescent="0.3">
      <c r="A118">
        <v>128</v>
      </c>
      <c r="B118">
        <v>52</v>
      </c>
      <c r="C118">
        <v>50.5</v>
      </c>
      <c r="D118">
        <v>73.5</v>
      </c>
      <c r="E118" s="1">
        <v>46167</v>
      </c>
      <c r="F118" t="s">
        <v>12</v>
      </c>
      <c r="G118" s="1">
        <v>46167</v>
      </c>
      <c r="H118">
        <v>1021</v>
      </c>
      <c r="I118">
        <v>1</v>
      </c>
    </row>
    <row r="119" spans="1:9" x14ac:dyDescent="0.3">
      <c r="A119">
        <v>129</v>
      </c>
      <c r="B119">
        <v>59</v>
      </c>
      <c r="C119">
        <v>26</v>
      </c>
      <c r="D119">
        <v>0</v>
      </c>
      <c r="E119" s="1">
        <v>46075</v>
      </c>
      <c r="F119" t="s">
        <v>9</v>
      </c>
      <c r="G119" s="1">
        <v>46075</v>
      </c>
      <c r="H119">
        <v>0</v>
      </c>
      <c r="I119">
        <v>0</v>
      </c>
    </row>
    <row r="120" spans="1:9" x14ac:dyDescent="0.3">
      <c r="A120">
        <v>130</v>
      </c>
      <c r="B120">
        <v>59</v>
      </c>
      <c r="C120">
        <v>31</v>
      </c>
      <c r="D120">
        <v>143.9</v>
      </c>
      <c r="E120" s="1">
        <v>46116</v>
      </c>
      <c r="F120" t="s">
        <v>10</v>
      </c>
      <c r="G120" s="1">
        <v>46116</v>
      </c>
      <c r="H120">
        <v>1993</v>
      </c>
      <c r="I120">
        <v>1</v>
      </c>
    </row>
    <row r="121" spans="1:9" x14ac:dyDescent="0.3">
      <c r="A121">
        <v>131</v>
      </c>
      <c r="B121">
        <v>59</v>
      </c>
      <c r="C121">
        <v>40</v>
      </c>
      <c r="D121">
        <v>105</v>
      </c>
      <c r="E121" s="1">
        <v>46146</v>
      </c>
      <c r="F121" t="s">
        <v>13</v>
      </c>
      <c r="G121" s="1">
        <v>46146</v>
      </c>
      <c r="H121">
        <v>1458</v>
      </c>
      <c r="I121">
        <v>1</v>
      </c>
    </row>
    <row r="122" spans="1:9" x14ac:dyDescent="0.3">
      <c r="A122">
        <v>132</v>
      </c>
      <c r="B122">
        <v>59</v>
      </c>
      <c r="C122">
        <v>41</v>
      </c>
      <c r="D122">
        <v>80.5</v>
      </c>
      <c r="E122" s="1">
        <v>46169</v>
      </c>
      <c r="F122" t="s">
        <v>12</v>
      </c>
      <c r="G122" s="1">
        <v>46169</v>
      </c>
      <c r="H122">
        <v>1118</v>
      </c>
      <c r="I122">
        <v>1</v>
      </c>
    </row>
    <row r="123" spans="1:9" x14ac:dyDescent="0.3">
      <c r="A123">
        <v>133</v>
      </c>
      <c r="B123">
        <v>66</v>
      </c>
      <c r="C123">
        <v>19</v>
      </c>
      <c r="D123">
        <v>0</v>
      </c>
      <c r="E123" s="1">
        <v>46075</v>
      </c>
      <c r="F123" t="s">
        <v>9</v>
      </c>
      <c r="G123" s="1">
        <v>46075</v>
      </c>
      <c r="H123">
        <v>0</v>
      </c>
      <c r="I123">
        <v>0</v>
      </c>
    </row>
    <row r="124" spans="1:9" x14ac:dyDescent="0.3">
      <c r="A124">
        <v>134</v>
      </c>
      <c r="B124">
        <v>66</v>
      </c>
      <c r="C124">
        <v>33</v>
      </c>
      <c r="D124">
        <v>143.9</v>
      </c>
      <c r="E124" s="1">
        <v>46116</v>
      </c>
      <c r="F124" t="s">
        <v>10</v>
      </c>
      <c r="G124" s="1">
        <v>46116</v>
      </c>
      <c r="H124">
        <v>1993</v>
      </c>
      <c r="I124">
        <v>1</v>
      </c>
    </row>
    <row r="125" spans="1:9" x14ac:dyDescent="0.3">
      <c r="A125">
        <v>135</v>
      </c>
      <c r="B125">
        <v>66</v>
      </c>
      <c r="C125">
        <v>45</v>
      </c>
      <c r="D125">
        <v>105</v>
      </c>
      <c r="E125" s="1">
        <v>46146</v>
      </c>
      <c r="F125" t="s">
        <v>13</v>
      </c>
      <c r="G125" s="1">
        <v>46146</v>
      </c>
      <c r="H125">
        <v>1458</v>
      </c>
      <c r="I125">
        <v>1</v>
      </c>
    </row>
    <row r="126" spans="1:9" x14ac:dyDescent="0.3">
      <c r="A126">
        <v>136</v>
      </c>
      <c r="B126">
        <v>66</v>
      </c>
      <c r="C126">
        <v>50</v>
      </c>
      <c r="D126">
        <v>63</v>
      </c>
      <c r="E126" s="1">
        <v>46164</v>
      </c>
      <c r="F126" t="s">
        <v>12</v>
      </c>
      <c r="G126" s="1">
        <v>46164</v>
      </c>
      <c r="H126">
        <v>876</v>
      </c>
      <c r="I126">
        <v>1</v>
      </c>
    </row>
    <row r="127" spans="1:9" x14ac:dyDescent="0.3">
      <c r="A127">
        <v>137</v>
      </c>
      <c r="B127">
        <v>91</v>
      </c>
      <c r="C127">
        <v>19</v>
      </c>
      <c r="D127">
        <v>0</v>
      </c>
      <c r="E127" s="1">
        <v>46075</v>
      </c>
      <c r="F127" t="s">
        <v>9</v>
      </c>
      <c r="G127" s="1">
        <v>46075</v>
      </c>
      <c r="H127">
        <v>0</v>
      </c>
      <c r="I127">
        <v>0</v>
      </c>
    </row>
    <row r="128" spans="1:9" x14ac:dyDescent="0.3">
      <c r="A128">
        <v>138</v>
      </c>
      <c r="B128">
        <v>91</v>
      </c>
      <c r="C128">
        <v>30</v>
      </c>
      <c r="D128">
        <v>143.9</v>
      </c>
      <c r="E128" s="1">
        <v>46116</v>
      </c>
      <c r="F128" t="s">
        <v>10</v>
      </c>
      <c r="G128" s="1">
        <v>46116</v>
      </c>
      <c r="H128">
        <v>1993</v>
      </c>
      <c r="I128">
        <v>1</v>
      </c>
    </row>
    <row r="129" spans="1:9" x14ac:dyDescent="0.3">
      <c r="A129">
        <v>139</v>
      </c>
      <c r="B129">
        <v>91</v>
      </c>
      <c r="C129">
        <v>40</v>
      </c>
      <c r="D129">
        <v>105</v>
      </c>
      <c r="E129" s="1">
        <v>46146</v>
      </c>
      <c r="F129" t="s">
        <v>13</v>
      </c>
      <c r="G129" s="1">
        <v>46146</v>
      </c>
      <c r="H129">
        <v>1458</v>
      </c>
      <c r="I129">
        <v>1</v>
      </c>
    </row>
    <row r="130" spans="1:9" x14ac:dyDescent="0.3">
      <c r="A130">
        <v>140</v>
      </c>
      <c r="B130">
        <v>91</v>
      </c>
      <c r="C130">
        <v>53</v>
      </c>
      <c r="D130">
        <v>63</v>
      </c>
      <c r="E130" s="1">
        <v>46164</v>
      </c>
      <c r="F130" t="s">
        <v>12</v>
      </c>
      <c r="G130" s="1">
        <v>46164</v>
      </c>
      <c r="H130">
        <v>876</v>
      </c>
      <c r="I130">
        <v>1</v>
      </c>
    </row>
    <row r="131" spans="1:9" x14ac:dyDescent="0.3">
      <c r="A131">
        <v>145</v>
      </c>
      <c r="B131">
        <v>99</v>
      </c>
      <c r="C131">
        <v>33</v>
      </c>
      <c r="D131">
        <v>0</v>
      </c>
      <c r="E131" s="1">
        <v>46075</v>
      </c>
      <c r="F131" t="s">
        <v>9</v>
      </c>
      <c r="G131" s="1">
        <v>46075</v>
      </c>
      <c r="H131">
        <v>0</v>
      </c>
      <c r="I131">
        <v>0</v>
      </c>
    </row>
    <row r="132" spans="1:9" x14ac:dyDescent="0.3">
      <c r="A132">
        <v>146</v>
      </c>
      <c r="B132">
        <v>99</v>
      </c>
      <c r="C132">
        <v>43</v>
      </c>
      <c r="D132">
        <v>143.9</v>
      </c>
      <c r="E132" s="1">
        <v>46116</v>
      </c>
      <c r="F132" t="s">
        <v>14</v>
      </c>
      <c r="G132" s="1">
        <v>46116</v>
      </c>
      <c r="H132">
        <v>1993</v>
      </c>
      <c r="I132">
        <v>1</v>
      </c>
    </row>
    <row r="133" spans="1:9" x14ac:dyDescent="0.3">
      <c r="A133">
        <v>147</v>
      </c>
      <c r="B133">
        <v>99</v>
      </c>
      <c r="C133">
        <v>53</v>
      </c>
      <c r="D133">
        <v>105</v>
      </c>
      <c r="E133" s="1">
        <v>46146</v>
      </c>
      <c r="F133" t="s">
        <v>11</v>
      </c>
      <c r="G133" s="1">
        <v>46146</v>
      </c>
      <c r="H133">
        <v>1458</v>
      </c>
      <c r="I133">
        <v>1</v>
      </c>
    </row>
  </sheetData>
  <pageMargins left="0.70866141732283472" right="0.70866141732283472" top="0.74803149606299213" bottom="0.74803149606299213" header="0.31496062992125984" footer="0.31496062992125984"/>
  <pageSetup paperSize="9" fitToHeight="0" orientation="landscape" verticalDpi="0" r:id="rId1"/>
  <headerFooter>
    <oddHeader>&amp;A</oddHeader>
    <oddFooter>&amp;Z&amp;F&amp;RPage &amp;P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ACBBDF0-1C4A-450A-81A8-EC45A5F520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birth_records_rows</vt:lpstr>
      <vt:lpstr>chart_of_accounts_rows</vt:lpstr>
      <vt:lpstr>feed_recipes_rows</vt:lpstr>
      <vt:lpstr>feeding_standards_rows</vt:lpstr>
      <vt:lpstr>financial_transactions_rows</vt:lpstr>
      <vt:lpstr>herd_rows</vt:lpstr>
      <vt:lpstr>inventory_rows</vt:lpstr>
      <vt:lpstr>Sheet1</vt:lpstr>
      <vt:lpstr>inventory_logs_rows</vt:lpstr>
      <vt:lpstr>printable_financial_ledger_rows</vt:lpstr>
      <vt:lpstr>view_batch_profitability_rows</vt:lpstr>
      <vt:lpstr>view_fattening_performance_rows</vt:lpstr>
      <vt:lpstr>view_general_herd_rows</vt:lpstr>
      <vt:lpstr>view_herd_maintenance_cost_rows</vt:lpstr>
      <vt:lpstr>weight_logs_rows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Salama salama</dc:creator>
  <cp:lastModifiedBy>Salama salama</cp:lastModifiedBy>
  <cp:lastPrinted>2026-08-22T07:22:46Z</cp:lastPrinted>
  <dcterms:created xsi:type="dcterms:W3CDTF">2026-08-18T06:55:04Z</dcterms:created>
  <dcterms:modified xsi:type="dcterms:W3CDTF">2026-09-03T06:05:48Z</dcterms:modified>
</cp:coreProperties>
</file>