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24226"/>
  <mc:AlternateContent xmlns:mc="http://schemas.openxmlformats.org/markup-compatibility/2006">
    <mc:Choice Requires="x15">
      <x15ac:absPath xmlns:x15ac="http://schemas.microsoft.com/office/spreadsheetml/2010/11/ac" url="C:\Users\laphouse\MyHerdApp\"/>
    </mc:Choice>
  </mc:AlternateContent>
  <xr:revisionPtr revIDLastSave="0" documentId="8_{376F212A-2E42-4FB6-989A-4AE623BDA99E}" xr6:coauthVersionLast="47" xr6:coauthVersionMax="47" xr10:uidLastSave="{00000000-0000-0000-0000-000000000000}"/>
  <bookViews>
    <workbookView xWindow="-108" yWindow="-108" windowWidth="23256" windowHeight="12456" xr2:uid="{00000000-000D-0000-FFFF-FFFF00000000}"/>
  </bookViews>
  <sheets>
    <sheet name="Feed Calculator &amp; Budget" sheetId="1" r:id="rId1"/>
    <sheet name="Recommendations &amp; Guidelines" sheetId="2" r:id="rId2"/>
    <sheet name="VBA Code &amp; Setup Instructions" sheetId="3" r:id="rId3"/>
  </sheets>
  <calcPr calcId="191029"/>
</workbook>
</file>

<file path=xl/calcChain.xml><?xml version="1.0" encoding="utf-8"?>
<calcChain xmlns="http://schemas.openxmlformats.org/spreadsheetml/2006/main">
  <c r="C33" i="1" l="1"/>
  <c r="G32" i="1"/>
  <c r="E32" i="1"/>
  <c r="D32" i="1"/>
  <c r="F32" i="1" s="1"/>
  <c r="B32" i="1"/>
  <c r="G31" i="1"/>
  <c r="E31" i="1"/>
  <c r="B31" i="1"/>
  <c r="D31" i="1" s="1"/>
  <c r="G30" i="1"/>
  <c r="E30" i="1"/>
  <c r="D30" i="1"/>
  <c r="F30" i="1" s="1"/>
  <c r="B30" i="1"/>
  <c r="G29" i="1"/>
  <c r="E29" i="1"/>
  <c r="B29" i="1"/>
  <c r="D29" i="1" s="1"/>
  <c r="G28" i="1"/>
  <c r="E28" i="1"/>
  <c r="D28" i="1"/>
  <c r="F28" i="1" s="1"/>
  <c r="B28" i="1"/>
  <c r="G27" i="1"/>
  <c r="E27" i="1"/>
  <c r="B27" i="1"/>
  <c r="D27" i="1" s="1"/>
  <c r="G26" i="1"/>
  <c r="G33" i="1" s="1"/>
  <c r="E26" i="1"/>
  <c r="E33" i="1" s="1"/>
  <c r="D26" i="1"/>
  <c r="B26" i="1"/>
  <c r="F22" i="1"/>
  <c r="B22" i="1"/>
  <c r="H21" i="1"/>
  <c r="G21" i="1"/>
  <c r="C21" i="1"/>
  <c r="D21" i="1" s="1"/>
  <c r="H20" i="1"/>
  <c r="G20" i="1"/>
  <c r="C20" i="1"/>
  <c r="D20" i="1" s="1"/>
  <c r="H19" i="1"/>
  <c r="G19" i="1"/>
  <c r="C19" i="1"/>
  <c r="D19" i="1" s="1"/>
  <c r="H18" i="1"/>
  <c r="G18" i="1"/>
  <c r="C18" i="1"/>
  <c r="D18" i="1" s="1"/>
  <c r="H17" i="1"/>
  <c r="G17" i="1"/>
  <c r="C17" i="1"/>
  <c r="D17" i="1" s="1"/>
  <c r="H16" i="1"/>
  <c r="H22" i="1" s="1"/>
  <c r="G22" i="1" s="1"/>
  <c r="G16" i="1"/>
  <c r="C16" i="1"/>
  <c r="D16" i="1" s="1"/>
  <c r="B12" i="1"/>
  <c r="H31" i="1" l="1"/>
  <c r="F31" i="1"/>
  <c r="H29" i="1"/>
  <c r="F29" i="1"/>
  <c r="D22" i="1"/>
  <c r="C22" i="1" s="1"/>
  <c r="H27" i="1"/>
  <c r="F27" i="1"/>
  <c r="D33" i="1"/>
  <c r="H26" i="1"/>
  <c r="H28" i="1"/>
  <c r="H30" i="1"/>
  <c r="H32" i="1"/>
  <c r="F26" i="1"/>
  <c r="F33" i="1" l="1"/>
  <c r="H33" i="1"/>
</calcChain>
</file>

<file path=xl/sharedStrings.xml><?xml version="1.0" encoding="utf-8"?>
<sst xmlns="http://schemas.openxmlformats.org/spreadsheetml/2006/main" count="96" uniqueCount="70">
  <si>
    <t>HERD CUSTOM FEED RECIPE &amp; MULTI-HORIZON BUDGET CALCULATOR (MACRO-ENABLED)</t>
  </si>
  <si>
    <t>Interactive On-Farm Recipe Formulation, Batch Costing &amp; Procurement Budget | Scope: 133 Verified Head</t>
  </si>
  <si>
    <t>1. Flock Structure &amp; DMI Parameters</t>
  </si>
  <si>
    <t>2. Available Market Ingredients &amp; Prices</t>
  </si>
  <si>
    <t>Category Classification</t>
  </si>
  <si>
    <t>Head Count (N)</t>
  </si>
  <si>
    <t>Avg Weight (kg)</t>
  </si>
  <si>
    <t>DMI %</t>
  </si>
  <si>
    <t>Ewes (Open / Lactating)</t>
  </si>
  <si>
    <t>Pregnant Ewes</t>
  </si>
  <si>
    <t>(Small) Female Lambs</t>
  </si>
  <si>
    <t>(Small) Male Lambs</t>
  </si>
  <si>
    <t>Fattening Lambs</t>
  </si>
  <si>
    <t>Permanent Sires (Rams)</t>
  </si>
  <si>
    <t>TOTAL FLOCK VERIFIED</t>
  </si>
  <si>
    <t>—</t>
  </si>
  <si>
    <t>Ingredient Name</t>
  </si>
  <si>
    <t>Price / KG (EGP)</t>
  </si>
  <si>
    <t>CP %</t>
  </si>
  <si>
    <t>DM %</t>
  </si>
  <si>
    <t>Crushed Wheat</t>
  </si>
  <si>
    <t>Coarsely Cracked Yellow Corn</t>
  </si>
  <si>
    <t>Dry Roughage / Clover Hay</t>
  </si>
  <si>
    <t>Premix + Toxin Binder</t>
  </si>
  <si>
    <t>Limestone Powder</t>
  </si>
  <si>
    <t>Sodium Bicarbonate</t>
  </si>
  <si>
    <t>Common Salt</t>
  </si>
  <si>
    <t>3. Formula A: Breeding Stock Mix (Ewes &amp; Rams)</t>
  </si>
  <si>
    <t>4. Formula B: High-Growth Mix (Fattening Lambs)</t>
  </si>
  <si>
    <t>Concentrate Ingredient</t>
  </si>
  <si>
    <t>Batch Weight (kg)</t>
  </si>
  <si>
    <t>Price / KG</t>
  </si>
  <si>
    <t>Cost / Batch (EGP)</t>
  </si>
  <si>
    <t>TOTAL FORMULA A BATCH</t>
  </si>
  <si>
    <t>TOTAL FORMULA B BATCH</t>
  </si>
  <si>
    <t>5. Master Multi-Horizon Feed Requirements &amp; Budget Summary</t>
  </si>
  <si>
    <t>Feed Ingredient</t>
  </si>
  <si>
    <t>Daily Qty (KG)</t>
  </si>
  <si>
    <t>Daily Cost (EGP)</t>
  </si>
  <si>
    <t>Monthly Qty (30 Days)</t>
  </si>
  <si>
    <t>Monthly Cost (EGP)</t>
  </si>
  <si>
    <t>3-Month Qty (90 Days)</t>
  </si>
  <si>
    <t>3-Month Cost (EGP)</t>
  </si>
  <si>
    <t>FINAL GRAND TOTALS</t>
  </si>
  <si>
    <t>PRACTICAL ON-FARM FEEDING &amp; MIXING RECOMMENDATIONS</t>
  </si>
  <si>
    <t>Core Action Area</t>
  </si>
  <si>
    <t>Operational &amp; Nutritional Guidelines</t>
  </si>
  <si>
    <t>1. Calcium-to-Phosphorus Balance</t>
  </si>
  <si>
    <t>Grains contain high phosphorus relative to calcium. Maintaining 1.5 kg of Limestone Powder per 100 kg batch ensures a safe 2:1 Calcium-to-Phosphorus ratio, preventing urinary calculi in rams and fattening lambs.</t>
  </si>
  <si>
    <t>2. Grain Processing &amp; Acidosis</t>
  </si>
  <si>
    <t>Keep corn and wheat coarsely cracked. Never finely grind wheat into flour. Finely ground wheat ferments too quickly, causing severe rumen acidosis. Maintain Sodium Bicarbonate at 1.0% in high-wheat fattening rations.</t>
  </si>
  <si>
    <t>3. Gradual Ration Adaptation (7–10 Days)</t>
  </si>
  <si>
    <t>Transition sheep gradually over 7 to 10 days when switching feed formulas or increasing concentrate allowances to allow rumen bacteria to adapt.</t>
  </si>
  <si>
    <t>4. Quality Roughage Complement</t>
  </si>
  <si>
    <t>Always feed custom concentrate mixes alongside dry fibrous roughage (Egyptian Berseem Clover Hay or Wheat Straw) to stimulate rumination and digestive health.</t>
  </si>
  <si>
    <t>5. Clean Water &amp; Salt Access</t>
  </si>
  <si>
    <t>Ensure continuous access to clean, fresh water. Maintaining 1.0% salt in the mix encourages steady drinking, protecting renal function.</t>
  </si>
  <si>
    <t>VBA MACRO SOURCE CODE &amp; QUICK SETUP INSTRUCTIONS</t>
  </si>
  <si>
    <t>Module Name / Topic</t>
  </si>
  <si>
    <t>VBA Code / Setup Procedure</t>
  </si>
  <si>
    <t>How to Enable Macros in Excel</t>
  </si>
  <si>
    <t>1. Press ALT + F11 to open the Visual Basic for Applications (VBA) Editor.
2. Click 'Insert' -&gt; 'Module' from the top menu bar.
3. Copy the VBA script below and paste it directly into the code window.
4. Close the VBA window and save the workbook as an Excel Macro-Enabled Workbook (.xlsm).
5. Click 'Enable Content' when prompted by Excel's security bar upon opening.</t>
  </si>
  <si>
    <t>Macro 1: Recalculate Rations</t>
  </si>
  <si>
    <t>Sub RecalculateRations()
    ActiveSheet.Calculate
    MsgBox "Herd Feed Budget &amp; Recipes Recalculated Successfully!", vbInformation, "Herd Calculator"
End Sub</t>
  </si>
  <si>
    <t>Macro 2: Add Ingredient Row</t>
  </si>
  <si>
    <t>Sub AddNewIngredient()
    Dim nextRow As Long
    nextRow = Cells(Rows.Count, "E").End(xlUp).Row + 1
    If nextRow &lt; 6 Then nextRow = 6
    Cells(nextRow, 5).Value = "New Ingredient"
    Cells(nextRow, 6).Value = 20.0
    Cells(nextRow, 7).Value = 0.1
    Cells(nextRow, 8).Value = 0.9
    Range(Cells(nextRow, 5), Cells(nextRow, 8)).Borders.LineStyle = xlContinuous
    Cells(nextRow, 6).NumberFormat = "#,##0.00 ""EGP"""
    Cells(nextRow, 7).NumberFormat = "0.0%"
    Cells(nextRow, 8).NumberFormat = "0.0%"
    MsgBox "New ingredient row added at Row " &amp; nextRow, vbInformation, "Add Ingredient"
End Sub</t>
  </si>
  <si>
    <t>Macro 3: Export PDF Report</t>
  </si>
  <si>
    <t>Sub ExportPDFReport()
    Dim pdfPath As String
    pdfPath = Application.ActiveWorkbook.Path &amp; "\Herd_Feed_Budget_Report_" &amp; Format(Now, "YYYYMMDD_hhmm") &amp; ".pdf"
    On Error Resume Next
    ActiveSheet.ExportAsFixedFormat Type:=xlTypePDF, Filename:=pdfPath, Quality:=xlQualityStandard
    MsgBox "PDF Report successfully exported to:" &amp; vbCrLf &amp; pdfPath, vbInformation, "PDF Export Complete"
End Sub</t>
  </si>
  <si>
    <t>Macro 4: Reset Defaults</t>
  </si>
  <si>
    <t>Sub ResetToBaselineDefaults()
    Dim ans As VbMsgBoxResult
    ans = MsgBox("Are you sure you want to reset the calculator to baseline defaults?", vbQuestion + vbYesNo, "Reset Calculator")
    If ans = vbYes Then
        Range("B16:B21").Value = Application.Transpose(Array(60, 36, 1.5, 1, 1, 0.5))
        Range("F16:F21").Value = Application.Transpose(Array(70, 25, 1.5, 1.5, 1, 1))
        ActiveSheet.Calculate
        MsgBox "Calculator reset to baseline defaults successfully.", vbInformation, "Reset Complete"
    End If
End Sub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</si>
</sst>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quot;EGP&quot;"/>
  </numFmts>
  <fonts count="8" x14ac:knownFonts="1">
    <font>
      <sz val="11"/>
      <color theme="1"/>
      <name val="Calibri"/>
      <family val="2"/>
      <scheme val="minor"/>
    </font>
    <font>
      <b/>
      <sz val="14"/>
      <color rgb="FFFFFFFF"/>
      <name val="Calibri"/>
      <family val="2"/>
      <scheme val="minor"/>
    </font>
    <font>
      <i/>
      <sz val="10"/>
      <color rgb="FF595959"/>
      <name val="Calibri"/>
      <family val="2"/>
      <scheme val="minor"/>
    </font>
    <font>
      <b/>
      <sz val="12"/>
      <color rgb="FF1F497D"/>
      <name val="Calibri"/>
      <family val="2"/>
      <scheme val="minor"/>
    </font>
    <font>
      <b/>
      <sz val="10"/>
      <color rgb="FFFFFFFF"/>
      <name val="Calibri"/>
      <family val="2"/>
      <scheme val="minor"/>
    </font>
    <font>
      <b/>
      <sz val="10"/>
      <color theme="1"/>
      <name val="Calibri"/>
      <family val="2"/>
      <scheme val="minor"/>
    </font>
    <font>
      <sz val="10"/>
      <color theme="1"/>
      <name val="Calibri"/>
      <family val="2"/>
      <scheme val="minor"/>
    </font>
    <font>
      <b/>
      <sz val="10.5"/>
      <color rgb="FF1F497D"/>
      <name val="Calibri"/>
      <family val="2"/>
      <scheme val="minor"/>
    </font>
  </fonts>
  <fills count="5">
    <fill>
      <patternFill patternType="none"/>
    </fill>
    <fill>
      <patternFill patternType="gray125"/>
    </fill>
    <fill>
      <patternFill patternType="solid">
        <fgColor rgb="FF1F497D"/>
        <bgColor indexed="64"/>
      </patternFill>
    </fill>
    <fill>
      <patternFill patternType="solid">
        <fgColor rgb="FF2E6B9E"/>
        <bgColor indexed="64"/>
      </patternFill>
    </fill>
    <fill>
      <patternFill patternType="solid">
        <fgColor rgb="FFF2F5F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3" fillId="0" borderId="0" xfId="0" applyFont="1"/>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1" xfId="0" applyFont="1" applyBorder="1"/>
    <xf numFmtId="3" fontId="6" fillId="0" borderId="1" xfId="0" applyNumberFormat="1" applyFont="1" applyBorder="1" applyAlignment="1">
      <alignment horizontal="center"/>
    </xf>
    <xf numFmtId="4" fontId="6" fillId="0" borderId="1" xfId="0" applyNumberFormat="1" applyFont="1" applyBorder="1" applyAlignment="1">
      <alignment horizontal="center"/>
    </xf>
    <xf numFmtId="164" fontId="6" fillId="0" borderId="1" xfId="0" applyNumberFormat="1" applyFont="1" applyBorder="1" applyAlignment="1">
      <alignment horizontal="center"/>
    </xf>
    <xf numFmtId="165" fontId="6" fillId="0" borderId="1" xfId="0" applyNumberFormat="1" applyFont="1" applyBorder="1" applyAlignment="1">
      <alignment horizontal="right"/>
    </xf>
    <xf numFmtId="0" fontId="7" fillId="4" borderId="1" xfId="0" applyFont="1" applyFill="1" applyBorder="1" applyAlignment="1">
      <alignment horizontal="center"/>
    </xf>
    <xf numFmtId="0" fontId="6" fillId="0" borderId="1" xfId="0" applyFont="1" applyBorder="1" applyAlignment="1">
      <alignment horizontal="center"/>
    </xf>
    <xf numFmtId="0" fontId="6" fillId="0" borderId="1" xfId="0" applyFont="1" applyBorder="1"/>
    <xf numFmtId="165" fontId="7" fillId="4" borderId="1" xfId="0" applyNumberFormat="1" applyFont="1" applyFill="1" applyBorder="1" applyAlignment="1">
      <alignment horizontal="right"/>
    </xf>
    <xf numFmtId="0" fontId="1" fillId="2" borderId="0" xfId="0" applyFont="1" applyFill="1" applyAlignment="1">
      <alignment horizontal="center" vertical="center"/>
    </xf>
    <xf numFmtId="0" fontId="2" fillId="0" borderId="0" xfId="0" applyFont="1" applyAlignment="1">
      <alignment horizontal="center" vertical="center"/>
    </xf>
    <xf numFmtId="0" fontId="6" fillId="0" borderId="1" xfId="0" applyFont="1" applyBorder="1" applyAlignment="1">
      <alignment horizontal="left" vertical="center" wrapText="1"/>
    </xf>
    <xf numFmtId="0" fontId="4" fillId="2" borderId="1" xfId="0" applyFont="1" applyFill="1" applyBorder="1" applyAlignment="1">
      <alignment horizontal="center" vertical="center"/>
    </xf>
    <xf numFmtId="0" fontId="5" fillId="0" borderId="1" xfId="0" applyFont="1" applyBorder="1" applyAlignment="1">
      <alignment horizontal="center" vertical="center"/>
    </xf>
    <xf numFmtId="0" fontId="1" fillId="0" borderId="0" xfId="0" applyFont="1" applyFill="1" applyAlignment="1">
      <alignment vertical="center"/>
    </xf>
    <xf numFmtId="0" fontId="5"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33"/>
  <sheetViews>
    <sheetView tabSelected="1" workbookViewId="0">
      <selection sqref="A1:H1"/>
    </sheetView>
  </sheetViews>
  <sheetFormatPr defaultRowHeight="14.4" x14ac:dyDescent="0.3"/>
  <cols>
    <col min="1" max="1" width="28.6640625" customWidth="1"/>
    <col min="2" max="3" width="18.6640625" customWidth="1"/>
    <col min="4" max="4" width="20.6640625" customWidth="1"/>
    <col min="5" max="5" width="28.6640625" customWidth="1"/>
    <col min="6" max="6" width="20.6640625" customWidth="1"/>
    <col min="7" max="8" width="22.6640625" customWidth="1"/>
  </cols>
  <sheetData>
    <row r="1" spans="1:8" ht="34.950000000000003" customHeight="1" x14ac:dyDescent="0.3">
      <c r="A1" s="13" t="s">
        <v>0</v>
      </c>
      <c r="B1" s="13"/>
      <c r="C1" s="13"/>
      <c r="D1" s="13"/>
      <c r="E1" s="13"/>
      <c r="F1" s="13"/>
      <c r="G1" s="13"/>
      <c r="H1" s="13"/>
    </row>
    <row r="2" spans="1:8" ht="19.95" customHeight="1" x14ac:dyDescent="0.3">
      <c r="A2" s="14" t="s">
        <v>1</v>
      </c>
      <c r="B2" s="14"/>
      <c r="C2" s="14"/>
      <c r="D2" s="14"/>
      <c r="E2" s="14"/>
      <c r="F2" s="14"/>
      <c r="G2" s="14"/>
      <c r="H2" s="14"/>
    </row>
    <row r="4" spans="1:8" ht="15.6" x14ac:dyDescent="0.3">
      <c r="A4" s="1" t="s">
        <v>2</v>
      </c>
      <c r="E4" s="1" t="s">
        <v>3</v>
      </c>
    </row>
    <row r="5" spans="1:8" ht="25.05" customHeight="1" x14ac:dyDescent="0.3">
      <c r="A5" s="2" t="s">
        <v>4</v>
      </c>
      <c r="B5" s="2" t="s">
        <v>5</v>
      </c>
      <c r="C5" s="2" t="s">
        <v>6</v>
      </c>
      <c r="D5" s="2" t="s">
        <v>7</v>
      </c>
      <c r="E5" s="3" t="s">
        <v>16</v>
      </c>
      <c r="F5" s="3" t="s">
        <v>17</v>
      </c>
      <c r="G5" s="3" t="s">
        <v>18</v>
      </c>
      <c r="H5" s="3" t="s">
        <v>19</v>
      </c>
    </row>
    <row r="6" spans="1:8" x14ac:dyDescent="0.3">
      <c r="A6" s="4" t="s">
        <v>8</v>
      </c>
      <c r="B6" s="5">
        <v>31</v>
      </c>
      <c r="C6" s="6">
        <v>50</v>
      </c>
      <c r="D6" s="7">
        <v>3.5000000000000003E-2</v>
      </c>
      <c r="E6" s="4" t="s">
        <v>20</v>
      </c>
      <c r="F6" s="8">
        <v>18</v>
      </c>
      <c r="G6" s="7">
        <v>0.125</v>
      </c>
      <c r="H6" s="7">
        <v>0.9</v>
      </c>
    </row>
    <row r="7" spans="1:8" x14ac:dyDescent="0.3">
      <c r="A7" s="4" t="s">
        <v>9</v>
      </c>
      <c r="B7" s="5">
        <v>30</v>
      </c>
      <c r="C7" s="6">
        <v>55</v>
      </c>
      <c r="D7" s="7">
        <v>3.7999999999999999E-2</v>
      </c>
      <c r="E7" s="4" t="s">
        <v>21</v>
      </c>
      <c r="F7" s="8">
        <v>16</v>
      </c>
      <c r="G7" s="7">
        <v>8.5000000000000006E-2</v>
      </c>
      <c r="H7" s="7">
        <v>0.9</v>
      </c>
    </row>
    <row r="8" spans="1:8" x14ac:dyDescent="0.3">
      <c r="A8" s="4" t="s">
        <v>10</v>
      </c>
      <c r="B8" s="5">
        <v>25</v>
      </c>
      <c r="C8" s="6">
        <v>22</v>
      </c>
      <c r="D8" s="7">
        <v>3.5000000000000003E-2</v>
      </c>
      <c r="E8" s="4" t="s">
        <v>22</v>
      </c>
      <c r="F8" s="8">
        <v>12</v>
      </c>
      <c r="G8" s="7">
        <v>0.12</v>
      </c>
      <c r="H8" s="7">
        <v>0.88</v>
      </c>
    </row>
    <row r="9" spans="1:8" x14ac:dyDescent="0.3">
      <c r="A9" s="4" t="s">
        <v>11</v>
      </c>
      <c r="B9" s="5">
        <v>10</v>
      </c>
      <c r="C9" s="6">
        <v>20</v>
      </c>
      <c r="D9" s="7">
        <v>3.5000000000000003E-2</v>
      </c>
      <c r="E9" s="4" t="s">
        <v>23</v>
      </c>
      <c r="F9" s="8">
        <v>38</v>
      </c>
      <c r="G9" s="7">
        <v>0</v>
      </c>
      <c r="H9" s="7">
        <v>1</v>
      </c>
    </row>
    <row r="10" spans="1:8" x14ac:dyDescent="0.3">
      <c r="A10" s="4" t="s">
        <v>12</v>
      </c>
      <c r="B10" s="5">
        <v>35</v>
      </c>
      <c r="C10" s="6">
        <v>32</v>
      </c>
      <c r="D10" s="7">
        <v>0.04</v>
      </c>
      <c r="E10" s="4" t="s">
        <v>24</v>
      </c>
      <c r="F10" s="8">
        <v>9</v>
      </c>
      <c r="G10" s="7">
        <v>0</v>
      </c>
      <c r="H10" s="7">
        <v>1</v>
      </c>
    </row>
    <row r="11" spans="1:8" x14ac:dyDescent="0.3">
      <c r="A11" s="4" t="s">
        <v>13</v>
      </c>
      <c r="B11" s="5">
        <v>2</v>
      </c>
      <c r="C11" s="6">
        <v>70</v>
      </c>
      <c r="D11" s="7">
        <v>2.5000000000000001E-2</v>
      </c>
      <c r="E11" s="4" t="s">
        <v>25</v>
      </c>
      <c r="F11" s="8">
        <v>15</v>
      </c>
      <c r="G11" s="7">
        <v>0</v>
      </c>
      <c r="H11" s="7">
        <v>1</v>
      </c>
    </row>
    <row r="12" spans="1:8" x14ac:dyDescent="0.3">
      <c r="A12" s="9" t="s">
        <v>14</v>
      </c>
      <c r="B12" s="5">
        <f>SUM(B6:B11)</f>
        <v>133</v>
      </c>
      <c r="C12" s="10" t="s">
        <v>15</v>
      </c>
      <c r="D12" s="10" t="s">
        <v>15</v>
      </c>
      <c r="E12" s="4" t="s">
        <v>26</v>
      </c>
      <c r="F12" s="8">
        <v>10</v>
      </c>
      <c r="G12" s="7">
        <v>0</v>
      </c>
      <c r="H12" s="7">
        <v>1</v>
      </c>
    </row>
    <row r="14" spans="1:8" ht="15.6" x14ac:dyDescent="0.3">
      <c r="A14" s="1" t="s">
        <v>27</v>
      </c>
      <c r="E14" s="1" t="s">
        <v>28</v>
      </c>
    </row>
    <row r="15" spans="1:8" ht="25.05" customHeight="1" x14ac:dyDescent="0.3">
      <c r="A15" s="2" t="s">
        <v>29</v>
      </c>
      <c r="B15" s="2" t="s">
        <v>30</v>
      </c>
      <c r="C15" s="2" t="s">
        <v>31</v>
      </c>
      <c r="D15" s="2" t="s">
        <v>32</v>
      </c>
      <c r="E15" s="3" t="s">
        <v>29</v>
      </c>
      <c r="F15" s="3" t="s">
        <v>30</v>
      </c>
      <c r="G15" s="3" t="s">
        <v>31</v>
      </c>
      <c r="H15" s="3" t="s">
        <v>32</v>
      </c>
    </row>
    <row r="16" spans="1:8" x14ac:dyDescent="0.3">
      <c r="A16" s="11" t="s">
        <v>20</v>
      </c>
      <c r="B16" s="6">
        <v>60</v>
      </c>
      <c r="C16" s="8">
        <f>F6</f>
        <v>18</v>
      </c>
      <c r="D16" s="8">
        <f t="shared" ref="D16:D21" si="0">B16*C16</f>
        <v>1080</v>
      </c>
      <c r="E16" s="11" t="s">
        <v>20</v>
      </c>
      <c r="F16" s="6">
        <v>70</v>
      </c>
      <c r="G16" s="8">
        <f>F6</f>
        <v>18</v>
      </c>
      <c r="H16" s="8">
        <f t="shared" ref="H16:H21" si="1">F16*G16</f>
        <v>1260</v>
      </c>
    </row>
    <row r="17" spans="1:8" x14ac:dyDescent="0.3">
      <c r="A17" s="11" t="s">
        <v>21</v>
      </c>
      <c r="B17" s="6">
        <v>36</v>
      </c>
      <c r="C17" s="8">
        <f>F7</f>
        <v>16</v>
      </c>
      <c r="D17" s="8">
        <f t="shared" si="0"/>
        <v>576</v>
      </c>
      <c r="E17" s="11" t="s">
        <v>21</v>
      </c>
      <c r="F17" s="6">
        <v>25</v>
      </c>
      <c r="G17" s="8">
        <f>F7</f>
        <v>16</v>
      </c>
      <c r="H17" s="8">
        <f t="shared" si="1"/>
        <v>400</v>
      </c>
    </row>
    <row r="18" spans="1:8" x14ac:dyDescent="0.3">
      <c r="A18" s="11" t="s">
        <v>24</v>
      </c>
      <c r="B18" s="6">
        <v>1.5</v>
      </c>
      <c r="C18" s="8">
        <f>F10</f>
        <v>9</v>
      </c>
      <c r="D18" s="8">
        <f t="shared" si="0"/>
        <v>13.5</v>
      </c>
      <c r="E18" s="11" t="s">
        <v>23</v>
      </c>
      <c r="F18" s="6">
        <v>1.5</v>
      </c>
      <c r="G18" s="8">
        <f>F9</f>
        <v>38</v>
      </c>
      <c r="H18" s="8">
        <f t="shared" si="1"/>
        <v>57</v>
      </c>
    </row>
    <row r="19" spans="1:8" x14ac:dyDescent="0.3">
      <c r="A19" s="11" t="s">
        <v>26</v>
      </c>
      <c r="B19" s="6">
        <v>1</v>
      </c>
      <c r="C19" s="8">
        <f>F12</f>
        <v>10</v>
      </c>
      <c r="D19" s="8">
        <f t="shared" si="0"/>
        <v>10</v>
      </c>
      <c r="E19" s="11" t="s">
        <v>24</v>
      </c>
      <c r="F19" s="6">
        <v>1.5</v>
      </c>
      <c r="G19" s="8">
        <f>F10</f>
        <v>9</v>
      </c>
      <c r="H19" s="8">
        <f t="shared" si="1"/>
        <v>13.5</v>
      </c>
    </row>
    <row r="20" spans="1:8" x14ac:dyDescent="0.3">
      <c r="A20" s="11" t="s">
        <v>23</v>
      </c>
      <c r="B20" s="6">
        <v>1</v>
      </c>
      <c r="C20" s="8">
        <f>F9</f>
        <v>38</v>
      </c>
      <c r="D20" s="8">
        <f t="shared" si="0"/>
        <v>38</v>
      </c>
      <c r="E20" s="11" t="s">
        <v>25</v>
      </c>
      <c r="F20" s="6">
        <v>1</v>
      </c>
      <c r="G20" s="8">
        <f>F11</f>
        <v>15</v>
      </c>
      <c r="H20" s="8">
        <f t="shared" si="1"/>
        <v>15</v>
      </c>
    </row>
    <row r="21" spans="1:8" x14ac:dyDescent="0.3">
      <c r="A21" s="11" t="s">
        <v>25</v>
      </c>
      <c r="B21" s="6">
        <v>0.5</v>
      </c>
      <c r="C21" s="8">
        <f>F11</f>
        <v>15</v>
      </c>
      <c r="D21" s="8">
        <f t="shared" si="0"/>
        <v>7.5</v>
      </c>
      <c r="E21" s="11" t="s">
        <v>26</v>
      </c>
      <c r="F21" s="6">
        <v>1</v>
      </c>
      <c r="G21" s="8">
        <f>F12</f>
        <v>10</v>
      </c>
      <c r="H21" s="8">
        <f t="shared" si="1"/>
        <v>10</v>
      </c>
    </row>
    <row r="22" spans="1:8" x14ac:dyDescent="0.3">
      <c r="A22" s="9" t="s">
        <v>33</v>
      </c>
      <c r="B22" s="6">
        <f>SUM(B16:B21)</f>
        <v>100</v>
      </c>
      <c r="C22" s="12">
        <f>D22/B22</f>
        <v>17.25</v>
      </c>
      <c r="D22" s="12">
        <f>SUM(D16:D21)</f>
        <v>1725</v>
      </c>
      <c r="E22" s="9" t="s">
        <v>34</v>
      </c>
      <c r="F22" s="6">
        <f>SUM(F16:F21)</f>
        <v>100</v>
      </c>
      <c r="G22" s="12">
        <f>H22/F22</f>
        <v>17.555</v>
      </c>
      <c r="H22" s="12">
        <f>SUM(H16:H21)</f>
        <v>1755.5</v>
      </c>
    </row>
    <row r="24" spans="1:8" ht="15.6" x14ac:dyDescent="0.3">
      <c r="A24" s="1" t="s">
        <v>35</v>
      </c>
    </row>
    <row r="25" spans="1:8" ht="25.05" customHeight="1" x14ac:dyDescent="0.3">
      <c r="A25" s="2" t="s">
        <v>36</v>
      </c>
      <c r="B25" s="2" t="s">
        <v>17</v>
      </c>
      <c r="C25" s="2" t="s">
        <v>37</v>
      </c>
      <c r="D25" s="2" t="s">
        <v>38</v>
      </c>
      <c r="E25" s="2" t="s">
        <v>39</v>
      </c>
      <c r="F25" s="2" t="s">
        <v>40</v>
      </c>
      <c r="G25" s="2" t="s">
        <v>41</v>
      </c>
      <c r="H25" s="2" t="s">
        <v>42</v>
      </c>
    </row>
    <row r="26" spans="1:8" x14ac:dyDescent="0.3">
      <c r="A26" s="4" t="s">
        <v>20</v>
      </c>
      <c r="B26" s="8">
        <f t="shared" ref="B26:B32" si="2">F6</f>
        <v>18</v>
      </c>
      <c r="C26" s="6">
        <v>73.412000000000006</v>
      </c>
      <c r="D26" s="8">
        <f t="shared" ref="D26:D32" si="3">B26*C26</f>
        <v>1321.4160000000002</v>
      </c>
      <c r="E26" s="6">
        <f t="shared" ref="E26:F32" si="4">C26*30</f>
        <v>2202.36</v>
      </c>
      <c r="F26" s="8">
        <f t="shared" si="4"/>
        <v>39642.480000000003</v>
      </c>
      <c r="G26" s="6">
        <f t="shared" ref="G26:H32" si="5">C26*90</f>
        <v>6607.0800000000008</v>
      </c>
      <c r="H26" s="8">
        <f t="shared" si="5"/>
        <v>118927.44000000002</v>
      </c>
    </row>
    <row r="27" spans="1:8" x14ac:dyDescent="0.3">
      <c r="A27" s="4" t="s">
        <v>21</v>
      </c>
      <c r="B27" s="8">
        <f t="shared" si="2"/>
        <v>16</v>
      </c>
      <c r="C27" s="6">
        <v>38.545999999999999</v>
      </c>
      <c r="D27" s="8">
        <f t="shared" si="3"/>
        <v>616.73599999999999</v>
      </c>
      <c r="E27" s="6">
        <f t="shared" si="4"/>
        <v>1156.3799999999999</v>
      </c>
      <c r="F27" s="8">
        <f t="shared" si="4"/>
        <v>18502.079999999998</v>
      </c>
      <c r="G27" s="6">
        <f t="shared" si="5"/>
        <v>3469.14</v>
      </c>
      <c r="H27" s="8">
        <f t="shared" si="5"/>
        <v>55506.239999999998</v>
      </c>
    </row>
    <row r="28" spans="1:8" x14ac:dyDescent="0.3">
      <c r="A28" s="4" t="s">
        <v>22</v>
      </c>
      <c r="B28" s="8">
        <f t="shared" si="2"/>
        <v>12</v>
      </c>
      <c r="C28" s="6">
        <v>95.82</v>
      </c>
      <c r="D28" s="8">
        <f t="shared" si="3"/>
        <v>1149.8399999999999</v>
      </c>
      <c r="E28" s="6">
        <f t="shared" si="4"/>
        <v>2874.6</v>
      </c>
      <c r="F28" s="8">
        <f t="shared" si="4"/>
        <v>34495.199999999997</v>
      </c>
      <c r="G28" s="6">
        <f t="shared" si="5"/>
        <v>8623.7999999999993</v>
      </c>
      <c r="H28" s="8">
        <f t="shared" si="5"/>
        <v>103485.59999999999</v>
      </c>
    </row>
    <row r="29" spans="1:8" x14ac:dyDescent="0.3">
      <c r="A29" s="4" t="s">
        <v>23</v>
      </c>
      <c r="B29" s="8">
        <f t="shared" si="2"/>
        <v>38</v>
      </c>
      <c r="C29" s="6">
        <v>1.331</v>
      </c>
      <c r="D29" s="8">
        <f t="shared" si="3"/>
        <v>50.577999999999996</v>
      </c>
      <c r="E29" s="6">
        <f t="shared" si="4"/>
        <v>39.93</v>
      </c>
      <c r="F29" s="8">
        <f t="shared" si="4"/>
        <v>1517.34</v>
      </c>
      <c r="G29" s="6">
        <f t="shared" si="5"/>
        <v>119.78999999999999</v>
      </c>
      <c r="H29" s="8">
        <f t="shared" si="5"/>
        <v>4552.0199999999995</v>
      </c>
    </row>
    <row r="30" spans="1:8" x14ac:dyDescent="0.3">
      <c r="A30" s="4" t="s">
        <v>24</v>
      </c>
      <c r="B30" s="8">
        <f t="shared" si="2"/>
        <v>9</v>
      </c>
      <c r="C30" s="6">
        <v>1.754</v>
      </c>
      <c r="D30" s="8">
        <f t="shared" si="3"/>
        <v>15.786</v>
      </c>
      <c r="E30" s="6">
        <f t="shared" si="4"/>
        <v>52.62</v>
      </c>
      <c r="F30" s="8">
        <f t="shared" si="4"/>
        <v>473.58</v>
      </c>
      <c r="G30" s="6">
        <f t="shared" si="5"/>
        <v>157.86000000000001</v>
      </c>
      <c r="H30" s="8">
        <f t="shared" si="5"/>
        <v>1420.74</v>
      </c>
    </row>
    <row r="31" spans="1:8" x14ac:dyDescent="0.3">
      <c r="A31" s="4" t="s">
        <v>25</v>
      </c>
      <c r="B31" s="8">
        <f t="shared" si="2"/>
        <v>15</v>
      </c>
      <c r="C31" s="6">
        <v>0.747</v>
      </c>
      <c r="D31" s="8">
        <f t="shared" si="3"/>
        <v>11.205</v>
      </c>
      <c r="E31" s="6">
        <f t="shared" si="4"/>
        <v>22.41</v>
      </c>
      <c r="F31" s="8">
        <f t="shared" si="4"/>
        <v>336.15</v>
      </c>
      <c r="G31" s="6">
        <f t="shared" si="5"/>
        <v>67.23</v>
      </c>
      <c r="H31" s="8">
        <f t="shared" si="5"/>
        <v>1008.45</v>
      </c>
    </row>
    <row r="32" spans="1:8" x14ac:dyDescent="0.3">
      <c r="A32" s="4" t="s">
        <v>26</v>
      </c>
      <c r="B32" s="8">
        <f t="shared" si="2"/>
        <v>10</v>
      </c>
      <c r="C32" s="6">
        <v>1.17</v>
      </c>
      <c r="D32" s="8">
        <f t="shared" si="3"/>
        <v>11.7</v>
      </c>
      <c r="E32" s="6">
        <f t="shared" si="4"/>
        <v>35.099999999999994</v>
      </c>
      <c r="F32" s="8">
        <f t="shared" si="4"/>
        <v>351</v>
      </c>
      <c r="G32" s="6">
        <f t="shared" si="5"/>
        <v>105.3</v>
      </c>
      <c r="H32" s="8">
        <f t="shared" si="5"/>
        <v>1053</v>
      </c>
    </row>
    <row r="33" spans="1:8" x14ac:dyDescent="0.3">
      <c r="A33" s="9" t="s">
        <v>43</v>
      </c>
      <c r="B33" s="9" t="s">
        <v>15</v>
      </c>
      <c r="C33" s="9">
        <f t="shared" ref="C33:H33" si="6">SUM(C26:C32)</f>
        <v>212.77999999999997</v>
      </c>
      <c r="D33" s="12">
        <f t="shared" si="6"/>
        <v>3177.261</v>
      </c>
      <c r="E33" s="9">
        <f t="shared" si="6"/>
        <v>6383.4000000000005</v>
      </c>
      <c r="F33" s="12">
        <f t="shared" si="6"/>
        <v>95317.829999999987</v>
      </c>
      <c r="G33" s="9">
        <f t="shared" si="6"/>
        <v>19150.2</v>
      </c>
      <c r="H33" s="12">
        <f t="shared" si="6"/>
        <v>285953.49000000005</v>
      </c>
    </row>
  </sheetData>
  <mergeCells count="2">
    <mergeCell ref="A1:H1"/>
    <mergeCell ref="A2:H2"/>
  </mergeCells>
  <printOptions gridLines="1"/>
  <pageMargins left="0.7" right="0.7" top="0.75" bottom="0.75" header="0.3" footer="0.3"/>
  <pageSetup paperSize="9" scale="72" fitToHeight="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8"/>
  <sheetViews>
    <sheetView workbookViewId="0">
      <selection activeCell="B4" sqref="B4:B8"/>
    </sheetView>
  </sheetViews>
  <sheetFormatPr defaultRowHeight="14.4" x14ac:dyDescent="0.3"/>
  <cols>
    <col min="1" max="1" width="32.6640625" customWidth="1"/>
    <col min="2" max="2" width="85.6640625" customWidth="1"/>
  </cols>
  <sheetData>
    <row r="1" spans="1:4" ht="34.950000000000003" customHeight="1" x14ac:dyDescent="0.3">
      <c r="A1" s="13" t="s">
        <v>44</v>
      </c>
      <c r="B1" s="13"/>
      <c r="C1" s="18"/>
      <c r="D1" s="18"/>
    </row>
    <row r="3" spans="1:4" ht="25.05" customHeight="1" x14ac:dyDescent="0.3">
      <c r="A3" s="3" t="s">
        <v>45</v>
      </c>
      <c r="B3" s="3" t="s">
        <v>46</v>
      </c>
    </row>
    <row r="4" spans="1:4" ht="40.049999999999997" customHeight="1" x14ac:dyDescent="0.3">
      <c r="A4" s="19" t="s">
        <v>47</v>
      </c>
      <c r="B4" s="15" t="s">
        <v>48</v>
      </c>
    </row>
    <row r="5" spans="1:4" ht="40.049999999999997" customHeight="1" x14ac:dyDescent="0.3">
      <c r="A5" s="19" t="s">
        <v>49</v>
      </c>
      <c r="B5" s="15" t="s">
        <v>50</v>
      </c>
    </row>
    <row r="6" spans="1:4" ht="40.049999999999997" customHeight="1" x14ac:dyDescent="0.3">
      <c r="A6" s="19" t="s">
        <v>51</v>
      </c>
      <c r="B6" s="15" t="s">
        <v>52</v>
      </c>
    </row>
    <row r="7" spans="1:4" ht="40.049999999999997" customHeight="1" x14ac:dyDescent="0.3">
      <c r="A7" s="19" t="s">
        <v>53</v>
      </c>
      <c r="B7" s="15" t="s">
        <v>54</v>
      </c>
    </row>
    <row r="8" spans="1:4" ht="40.049999999999997" customHeight="1" x14ac:dyDescent="0.3">
      <c r="A8" s="19" t="s">
        <v>55</v>
      </c>
      <c r="B8" s="15" t="s">
        <v>56</v>
      </c>
    </row>
  </sheetData>
  <mergeCells count="1">
    <mergeCell ref="A1:B1"/>
  </mergeCells>
  <printOptions gridLine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8"/>
  <sheetViews>
    <sheetView workbookViewId="0">
      <selection activeCell="A8" sqref="A8:XFD8"/>
    </sheetView>
  </sheetViews>
  <sheetFormatPr defaultRowHeight="14.4" x14ac:dyDescent="0.3"/>
  <cols>
    <col min="1" max="1" width="30.6640625" customWidth="1"/>
    <col min="2" max="2" width="90.6640625" customWidth="1"/>
  </cols>
  <sheetData>
    <row r="1" spans="1:2" ht="34.950000000000003" customHeight="1" x14ac:dyDescent="0.3">
      <c r="A1" s="13" t="s">
        <v>57</v>
      </c>
      <c r="B1" s="13"/>
    </row>
    <row r="3" spans="1:2" ht="25.05" customHeight="1" x14ac:dyDescent="0.3">
      <c r="A3" s="16" t="s">
        <v>58</v>
      </c>
      <c r="B3" s="2" t="s">
        <v>59</v>
      </c>
    </row>
    <row r="4" spans="1:2" ht="69" x14ac:dyDescent="0.3">
      <c r="A4" s="17" t="s">
        <v>60</v>
      </c>
      <c r="B4" s="15" t="s">
        <v>61</v>
      </c>
    </row>
    <row r="5" spans="1:2" ht="55.2" x14ac:dyDescent="0.3">
      <c r="A5" s="17" t="s">
        <v>62</v>
      </c>
      <c r="B5" s="15" t="s">
        <v>63</v>
      </c>
    </row>
    <row r="6" spans="1:2" ht="193.2" x14ac:dyDescent="0.3">
      <c r="A6" s="17" t="s">
        <v>64</v>
      </c>
      <c r="B6" s="15" t="s">
        <v>65</v>
      </c>
    </row>
    <row r="7" spans="1:2" ht="64.95" customHeight="1" x14ac:dyDescent="0.3">
      <c r="A7" s="17" t="s">
        <v>66</v>
      </c>
      <c r="B7" s="15" t="s">
        <v>67</v>
      </c>
    </row>
    <row r="8" spans="1:2" ht="163.19999999999999" customHeight="1" x14ac:dyDescent="0.3">
      <c r="A8" s="17" t="s">
        <v>68</v>
      </c>
      <c r="B8" s="15" t="s">
        <v>69</v>
      </c>
    </row>
  </sheetData>
  <mergeCells count="1">
    <mergeCell ref="A1:B1"/>
  </mergeCells>
  <printOptions gridLine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Feed Calculator &amp; Budget</vt:lpstr>
      <vt:lpstr>Recommendations &amp; Guidelines</vt:lpstr>
      <vt:lpstr>VBA Code &amp; Setup 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Salama salama</dc:creator>
  <cp:lastModifiedBy>Salama salama</cp:lastModifiedBy>
  <cp:lastPrinted>2026-10-01T05:10:33Z</cp:lastPrinted>
  <dcterms:created xsi:type="dcterms:W3CDTF">2026-09-30T13:03:40Z</dcterms:created>
  <dcterms:modified xsi:type="dcterms:W3CDTF">2026-10-01T05:11:22Z</dcterms:modified>
</cp:coreProperties>
</file>